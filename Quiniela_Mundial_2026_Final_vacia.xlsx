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lva\.antigravity\Quiniela2026-2\"/>
    </mc:Choice>
  </mc:AlternateContent>
  <xr:revisionPtr revIDLastSave="0" documentId="13_ncr:1_{DCFC9E50-33C6-42C4-B2E0-09E18289C6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Grupos" sheetId="2" r:id="rId2"/>
    <sheet name="Mejores Terceros" sheetId="3" r:id="rId3"/>
    <sheet name="Backend" sheetId="4" state="hidden" r:id="rId4"/>
    <sheet name="Eliminatorias" sheetId="5" r:id="rId5"/>
    <sheet name="Calendario de Juegos" sheetId="6" r:id="rId6"/>
    <sheet name="Calendario 2" sheetId="7" r:id="rId7"/>
    <sheet name="RankingFIFA" sheetId="8" state="hidden" r:id="rId8"/>
    <sheet name="MatrizTerceros" sheetId="9" state="hidden" r:id="rId9"/>
    <sheet name="Ranking FIFA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5" l="1"/>
  <c r="I56" i="5"/>
  <c r="I51" i="5"/>
  <c r="H51" i="5"/>
  <c r="B51" i="5"/>
  <c r="I46" i="5"/>
  <c r="I45" i="5"/>
  <c r="I40" i="5"/>
  <c r="I39" i="5"/>
  <c r="I38" i="5"/>
  <c r="I37" i="5"/>
  <c r="I32" i="5"/>
  <c r="I31" i="5"/>
  <c r="I30" i="5"/>
  <c r="I29" i="5"/>
  <c r="I28" i="5"/>
  <c r="I27" i="5"/>
  <c r="I26" i="5"/>
  <c r="I25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H99" i="2"/>
  <c r="H98" i="2"/>
  <c r="H97" i="2"/>
  <c r="H96" i="2"/>
  <c r="H95" i="2"/>
  <c r="H94" i="2"/>
  <c r="H91" i="2"/>
  <c r="H90" i="2"/>
  <c r="H89" i="2"/>
  <c r="H88" i="2"/>
  <c r="H87" i="2"/>
  <c r="H86" i="2"/>
  <c r="H83" i="2"/>
  <c r="H82" i="2"/>
  <c r="H81" i="2"/>
  <c r="H80" i="2"/>
  <c r="H79" i="2"/>
  <c r="H78" i="2"/>
  <c r="R75" i="2"/>
  <c r="Q75" i="2"/>
  <c r="P75" i="2"/>
  <c r="O75" i="2"/>
  <c r="N75" i="2"/>
  <c r="M75" i="2"/>
  <c r="H75" i="2"/>
  <c r="R74" i="2"/>
  <c r="Q74" i="2"/>
  <c r="P74" i="2"/>
  <c r="O74" i="2"/>
  <c r="N74" i="2"/>
  <c r="M74" i="2"/>
  <c r="H74" i="2"/>
  <c r="R73" i="2"/>
  <c r="Q73" i="2"/>
  <c r="P73" i="2"/>
  <c r="O73" i="2"/>
  <c r="N73" i="2"/>
  <c r="M73" i="2"/>
  <c r="H73" i="2"/>
  <c r="R72" i="2"/>
  <c r="Q72" i="2"/>
  <c r="P72" i="2"/>
  <c r="O72" i="2"/>
  <c r="N72" i="2"/>
  <c r="M72" i="2"/>
  <c r="H72" i="2"/>
  <c r="H71" i="2"/>
  <c r="H70" i="2"/>
  <c r="R69" i="2"/>
  <c r="Q69" i="2"/>
  <c r="P69" i="2"/>
  <c r="O69" i="2"/>
  <c r="N69" i="2"/>
  <c r="M69" i="2"/>
  <c r="R68" i="2"/>
  <c r="Q68" i="2"/>
  <c r="P68" i="2"/>
  <c r="O68" i="2"/>
  <c r="N68" i="2"/>
  <c r="M68" i="2"/>
  <c r="R67" i="2"/>
  <c r="Q67" i="2"/>
  <c r="P67" i="2"/>
  <c r="O67" i="2"/>
  <c r="N67" i="2"/>
  <c r="M67" i="2"/>
  <c r="H67" i="2"/>
  <c r="R66" i="2"/>
  <c r="Q66" i="2"/>
  <c r="P66" i="2"/>
  <c r="O66" i="2"/>
  <c r="N66" i="2"/>
  <c r="M66" i="2"/>
  <c r="H66" i="2"/>
  <c r="H65" i="2"/>
  <c r="H64" i="2"/>
  <c r="R63" i="2"/>
  <c r="Q63" i="2"/>
  <c r="P63" i="2"/>
  <c r="O63" i="2"/>
  <c r="N63" i="2"/>
  <c r="M63" i="2"/>
  <c r="H63" i="2"/>
  <c r="R62" i="2"/>
  <c r="Q62" i="2"/>
  <c r="P62" i="2"/>
  <c r="O62" i="2"/>
  <c r="N62" i="2"/>
  <c r="M62" i="2"/>
  <c r="H62" i="2"/>
  <c r="R61" i="2"/>
  <c r="Q61" i="2"/>
  <c r="P61" i="2"/>
  <c r="O61" i="2"/>
  <c r="N61" i="2"/>
  <c r="M61" i="2"/>
  <c r="R60" i="2"/>
  <c r="Q60" i="2"/>
  <c r="P60" i="2"/>
  <c r="O60" i="2"/>
  <c r="N60" i="2"/>
  <c r="M60" i="2"/>
  <c r="H59" i="2"/>
  <c r="H58" i="2"/>
  <c r="R57" i="2"/>
  <c r="Q57" i="2"/>
  <c r="P57" i="2"/>
  <c r="O57" i="2"/>
  <c r="N57" i="2"/>
  <c r="M57" i="2"/>
  <c r="H57" i="2"/>
  <c r="R56" i="2"/>
  <c r="Q56" i="2"/>
  <c r="P56" i="2"/>
  <c r="O56" i="2"/>
  <c r="N56" i="2"/>
  <c r="M56" i="2"/>
  <c r="H56" i="2"/>
  <c r="R55" i="2"/>
  <c r="Q55" i="2"/>
  <c r="P55" i="2"/>
  <c r="O55" i="2"/>
  <c r="N55" i="2"/>
  <c r="M55" i="2"/>
  <c r="H55" i="2"/>
  <c r="T54" i="2"/>
  <c r="R54" i="2"/>
  <c r="Q54" i="2"/>
  <c r="P54" i="2"/>
  <c r="O54" i="2"/>
  <c r="N54" i="2"/>
  <c r="M54" i="2"/>
  <c r="H54" i="2"/>
  <c r="R51" i="2"/>
  <c r="Q51" i="2"/>
  <c r="P51" i="2"/>
  <c r="O51" i="2"/>
  <c r="N51" i="2"/>
  <c r="M51" i="2"/>
  <c r="H51" i="2"/>
  <c r="R50" i="2"/>
  <c r="Q50" i="2"/>
  <c r="P50" i="2"/>
  <c r="O50" i="2"/>
  <c r="N50" i="2"/>
  <c r="M50" i="2"/>
  <c r="H50" i="2"/>
  <c r="R49" i="2"/>
  <c r="Q49" i="2"/>
  <c r="P49" i="2"/>
  <c r="O49" i="2"/>
  <c r="N49" i="2"/>
  <c r="M49" i="2"/>
  <c r="H49" i="2"/>
  <c r="R48" i="2"/>
  <c r="Q48" i="2"/>
  <c r="P48" i="2"/>
  <c r="O48" i="2"/>
  <c r="N48" i="2"/>
  <c r="M48" i="2"/>
  <c r="H48" i="2"/>
  <c r="H47" i="2"/>
  <c r="H46" i="2"/>
  <c r="R45" i="2"/>
  <c r="Q45" i="2"/>
  <c r="P45" i="2"/>
  <c r="O45" i="2"/>
  <c r="N45" i="2"/>
  <c r="M45" i="2"/>
  <c r="R44" i="2"/>
  <c r="Q44" i="2"/>
  <c r="P44" i="2"/>
  <c r="O44" i="2"/>
  <c r="N44" i="2"/>
  <c r="M44" i="2"/>
  <c r="R43" i="2"/>
  <c r="Q43" i="2"/>
  <c r="P43" i="2"/>
  <c r="O43" i="2"/>
  <c r="N43" i="2"/>
  <c r="M43" i="2"/>
  <c r="H43" i="2"/>
  <c r="R42" i="2"/>
  <c r="Q42" i="2"/>
  <c r="P42" i="2"/>
  <c r="O42" i="2"/>
  <c r="N42" i="2"/>
  <c r="M42" i="2"/>
  <c r="H42" i="2"/>
  <c r="H41" i="2"/>
  <c r="H40" i="2"/>
  <c r="R39" i="2"/>
  <c r="Q39" i="2"/>
  <c r="P39" i="2"/>
  <c r="O39" i="2"/>
  <c r="N39" i="2"/>
  <c r="M39" i="2"/>
  <c r="H39" i="2"/>
  <c r="R38" i="2"/>
  <c r="Q38" i="2"/>
  <c r="P38" i="2"/>
  <c r="O38" i="2"/>
  <c r="N38" i="2"/>
  <c r="M38" i="2"/>
  <c r="H38" i="2"/>
  <c r="R37" i="2"/>
  <c r="Q37" i="2"/>
  <c r="P37" i="2"/>
  <c r="O37" i="2"/>
  <c r="N37" i="2"/>
  <c r="M37" i="2"/>
  <c r="R36" i="2"/>
  <c r="Q36" i="2"/>
  <c r="P36" i="2"/>
  <c r="O36" i="2"/>
  <c r="N36" i="2"/>
  <c r="M36" i="2"/>
  <c r="H35" i="2"/>
  <c r="H34" i="2"/>
  <c r="R33" i="2"/>
  <c r="Q33" i="2"/>
  <c r="P33" i="2"/>
  <c r="O33" i="2"/>
  <c r="N33" i="2"/>
  <c r="M33" i="2"/>
  <c r="H33" i="2"/>
  <c r="R32" i="2"/>
  <c r="Q32" i="2"/>
  <c r="P32" i="2"/>
  <c r="O32" i="2"/>
  <c r="N32" i="2"/>
  <c r="M32" i="2"/>
  <c r="H32" i="2"/>
  <c r="R31" i="2"/>
  <c r="Q31" i="2"/>
  <c r="P31" i="2"/>
  <c r="O31" i="2"/>
  <c r="N31" i="2"/>
  <c r="M31" i="2"/>
  <c r="H31" i="2"/>
  <c r="R30" i="2"/>
  <c r="Q30" i="2"/>
  <c r="P30" i="2"/>
  <c r="O30" i="2"/>
  <c r="N30" i="2"/>
  <c r="M30" i="2"/>
  <c r="H30" i="2"/>
  <c r="R27" i="2"/>
  <c r="Q27" i="2"/>
  <c r="P27" i="2"/>
  <c r="O27" i="2"/>
  <c r="N27" i="2"/>
  <c r="M27" i="2"/>
  <c r="H27" i="2"/>
  <c r="R26" i="2"/>
  <c r="Q26" i="2"/>
  <c r="P26" i="2"/>
  <c r="O26" i="2"/>
  <c r="N26" i="2"/>
  <c r="M26" i="2"/>
  <c r="H26" i="2"/>
  <c r="R25" i="2"/>
  <c r="Q25" i="2"/>
  <c r="P25" i="2"/>
  <c r="O25" i="2"/>
  <c r="N25" i="2"/>
  <c r="M25" i="2"/>
  <c r="H25" i="2"/>
  <c r="R24" i="2"/>
  <c r="Q24" i="2"/>
  <c r="P24" i="2"/>
  <c r="O24" i="2"/>
  <c r="N24" i="2"/>
  <c r="M24" i="2"/>
  <c r="H24" i="2"/>
  <c r="H23" i="2"/>
  <c r="H22" i="2"/>
  <c r="T21" i="2"/>
  <c r="R21" i="2"/>
  <c r="Q21" i="2"/>
  <c r="P21" i="2"/>
  <c r="O21" i="2"/>
  <c r="N21" i="2"/>
  <c r="M21" i="2"/>
  <c r="R20" i="2"/>
  <c r="Q20" i="2"/>
  <c r="P20" i="2"/>
  <c r="O20" i="2"/>
  <c r="N20" i="2"/>
  <c r="M20" i="2"/>
  <c r="R19" i="2"/>
  <c r="Q19" i="2"/>
  <c r="P19" i="2"/>
  <c r="O19" i="2"/>
  <c r="N19" i="2"/>
  <c r="M19" i="2"/>
  <c r="H19" i="2"/>
  <c r="R18" i="2"/>
  <c r="Q18" i="2"/>
  <c r="P18" i="2"/>
  <c r="O18" i="2"/>
  <c r="N18" i="2"/>
  <c r="M18" i="2"/>
  <c r="H18" i="2"/>
  <c r="H17" i="2"/>
  <c r="H16" i="2"/>
  <c r="R15" i="2"/>
  <c r="Q15" i="2"/>
  <c r="P15" i="2"/>
  <c r="O15" i="2"/>
  <c r="N15" i="2"/>
  <c r="M15" i="2"/>
  <c r="H15" i="2"/>
  <c r="R14" i="2"/>
  <c r="Q14" i="2"/>
  <c r="P14" i="2"/>
  <c r="O14" i="2"/>
  <c r="N14" i="2"/>
  <c r="M14" i="2"/>
  <c r="H14" i="2"/>
  <c r="R13" i="2"/>
  <c r="Q13" i="2"/>
  <c r="P13" i="2"/>
  <c r="O13" i="2"/>
  <c r="N13" i="2"/>
  <c r="M13" i="2"/>
  <c r="R12" i="2"/>
  <c r="Q12" i="2"/>
  <c r="P12" i="2"/>
  <c r="O12" i="2"/>
  <c r="N12" i="2"/>
  <c r="M12" i="2"/>
  <c r="H11" i="2"/>
  <c r="H10" i="2"/>
  <c r="R9" i="2"/>
  <c r="Q9" i="2"/>
  <c r="P9" i="2"/>
  <c r="O9" i="2"/>
  <c r="N9" i="2"/>
  <c r="M9" i="2"/>
  <c r="H9" i="2"/>
  <c r="R8" i="2"/>
  <c r="Q8" i="2"/>
  <c r="P8" i="2"/>
  <c r="O8" i="2"/>
  <c r="N8" i="2"/>
  <c r="M8" i="2"/>
  <c r="H8" i="2"/>
  <c r="R7" i="2"/>
  <c r="Q7" i="2"/>
  <c r="P7" i="2"/>
  <c r="O7" i="2"/>
  <c r="N7" i="2"/>
  <c r="M7" i="2"/>
  <c r="H7" i="2"/>
  <c r="R6" i="2"/>
  <c r="Q6" i="2"/>
  <c r="P6" i="2"/>
  <c r="O6" i="2"/>
  <c r="N6" i="2"/>
  <c r="M6" i="2"/>
  <c r="H6" i="2"/>
  <c r="H62" i="5" l="1"/>
  <c r="H60" i="5"/>
  <c r="H56" i="5"/>
  <c r="B56" i="5"/>
  <c r="H46" i="5"/>
  <c r="B46" i="5"/>
  <c r="H45" i="5"/>
  <c r="B45" i="5"/>
  <c r="H40" i="5"/>
  <c r="B40" i="5"/>
  <c r="H39" i="5"/>
  <c r="B39" i="5"/>
  <c r="H37" i="5"/>
  <c r="B37" i="5"/>
  <c r="H32" i="5"/>
  <c r="B32" i="5"/>
  <c r="H31" i="5"/>
  <c r="B31" i="5"/>
  <c r="B30" i="5"/>
  <c r="H29" i="5"/>
  <c r="B29" i="5"/>
  <c r="H28" i="5"/>
  <c r="H27" i="5"/>
  <c r="B27" i="5"/>
  <c r="H26" i="5"/>
  <c r="B26" i="5"/>
  <c r="H25" i="5"/>
  <c r="S67" i="2"/>
  <c r="S63" i="2"/>
  <c r="S62" i="2"/>
  <c r="T55" i="2"/>
  <c r="S44" i="2"/>
  <c r="T43" i="2"/>
  <c r="S39" i="2"/>
  <c r="T38" i="2"/>
  <c r="S37" i="2"/>
  <c r="T33" i="2"/>
  <c r="S25" i="2"/>
  <c r="S6" i="2"/>
  <c r="T74" i="2"/>
  <c r="U74" i="2" s="1"/>
  <c r="S74" i="2"/>
  <c r="T68" i="2"/>
  <c r="S66" i="2"/>
  <c r="T39" i="2"/>
  <c r="U39" i="2" s="1"/>
  <c r="T37" i="2"/>
  <c r="U37" i="2" s="1"/>
  <c r="T31" i="2"/>
  <c r="S26" i="2"/>
  <c r="T51" i="2"/>
  <c r="S51" i="2"/>
  <c r="T50" i="2"/>
  <c r="U50" i="2" s="1"/>
  <c r="S50" i="2"/>
  <c r="T49" i="2"/>
  <c r="S49" i="2"/>
  <c r="T48" i="2"/>
  <c r="S48" i="2"/>
  <c r="T45" i="2"/>
  <c r="S45" i="2"/>
  <c r="T26" i="2"/>
  <c r="U26" i="2" s="1"/>
  <c r="T25" i="2"/>
  <c r="U25" i="2" s="1"/>
  <c r="S21" i="2"/>
  <c r="T20" i="2"/>
  <c r="S20" i="2"/>
  <c r="T19" i="2"/>
  <c r="S19" i="2"/>
  <c r="T18" i="2"/>
  <c r="U18" i="2" s="1"/>
  <c r="S18" i="2"/>
  <c r="T15" i="2"/>
  <c r="U15" i="2" s="1"/>
  <c r="S15" i="2"/>
  <c r="T14" i="2"/>
  <c r="S14" i="2"/>
  <c r="T13" i="2"/>
  <c r="U13" i="2" s="1"/>
  <c r="S13" i="2"/>
  <c r="T12" i="2"/>
  <c r="S12" i="2"/>
  <c r="T9" i="2"/>
  <c r="S9" i="2"/>
  <c r="S8" i="2"/>
  <c r="T73" i="2"/>
  <c r="U73" i="2" s="1"/>
  <c r="S73" i="2"/>
  <c r="T57" i="2"/>
  <c r="S43" i="2"/>
  <c r="S42" i="2"/>
  <c r="S36" i="2"/>
  <c r="S32" i="2"/>
  <c r="B38" i="5"/>
  <c r="H30" i="5"/>
  <c r="T69" i="2"/>
  <c r="T66" i="2"/>
  <c r="U66" i="2" s="1"/>
  <c r="S56" i="2"/>
  <c r="T24" i="2"/>
  <c r="B28" i="5"/>
  <c r="B25" i="5"/>
  <c r="T75" i="2"/>
  <c r="T72" i="2"/>
  <c r="U72" i="2" s="1"/>
  <c r="S72" i="2"/>
  <c r="T62" i="2"/>
  <c r="U62" i="2" s="1"/>
  <c r="T61" i="2"/>
  <c r="S61" i="2"/>
  <c r="S57" i="2"/>
  <c r="S38" i="2"/>
  <c r="S31" i="2"/>
  <c r="S27" i="2"/>
  <c r="S24" i="2"/>
  <c r="T8" i="2"/>
  <c r="U8" i="2" s="1"/>
  <c r="H38" i="5"/>
  <c r="S75" i="2"/>
  <c r="S69" i="2"/>
  <c r="S68" i="2"/>
  <c r="S55" i="2"/>
  <c r="T7" i="2"/>
  <c r="T6" i="2"/>
  <c r="U6" i="2" s="1"/>
  <c r="T36" i="2"/>
  <c r="U36" i="2" s="1"/>
  <c r="S33" i="2"/>
  <c r="T67" i="2"/>
  <c r="U67" i="2" s="1"/>
  <c r="T63" i="2"/>
  <c r="U63" i="2" s="1"/>
  <c r="T60" i="2"/>
  <c r="T56" i="2"/>
  <c r="U56" i="2" s="1"/>
  <c r="T44" i="2"/>
  <c r="U44" i="2" s="1"/>
  <c r="T32" i="2"/>
  <c r="U32" i="2" s="1"/>
  <c r="S30" i="2"/>
  <c r="S60" i="2"/>
  <c r="S54" i="2"/>
  <c r="T42" i="2"/>
  <c r="U42" i="2" s="1"/>
  <c r="T30" i="2"/>
  <c r="U30" i="2" s="1"/>
  <c r="T27" i="2"/>
  <c r="U27" i="2" s="1"/>
  <c r="S7" i="2"/>
  <c r="U24" i="2" l="1"/>
  <c r="U55" i="2"/>
  <c r="U33" i="2"/>
  <c r="U68" i="2"/>
  <c r="U31" i="2"/>
  <c r="U51" i="2"/>
  <c r="U49" i="2"/>
  <c r="U48" i="2"/>
  <c r="U45" i="2"/>
  <c r="U21" i="2"/>
  <c r="U20" i="2"/>
  <c r="U19" i="2"/>
  <c r="U60" i="2"/>
  <c r="U54" i="2"/>
  <c r="U43" i="2"/>
  <c r="U14" i="2"/>
  <c r="U12" i="2"/>
  <c r="U69" i="2"/>
  <c r="U75" i="2"/>
  <c r="U61" i="2"/>
  <c r="U7" i="2"/>
  <c r="U9" i="2"/>
  <c r="U57" i="2"/>
  <c r="U38" i="2"/>
  <c r="B5" i="4" l="1"/>
  <c r="D5" i="4"/>
  <c r="C5" i="4"/>
  <c r="B21" i="5" s="1"/>
  <c r="E5" i="4"/>
  <c r="C9" i="4"/>
  <c r="H20" i="5" s="1"/>
  <c r="B9" i="4"/>
  <c r="B17" i="5" s="1"/>
  <c r="E9" i="4"/>
  <c r="D9" i="4"/>
  <c r="E11" i="4"/>
  <c r="D11" i="4"/>
  <c r="B11" i="4"/>
  <c r="B20" i="5" s="1"/>
  <c r="C11" i="4"/>
  <c r="H17" i="5" s="1"/>
  <c r="D10" i="4"/>
  <c r="B10" i="4"/>
  <c r="B9" i="5" s="1"/>
  <c r="E10" i="4"/>
  <c r="C10" i="4"/>
  <c r="H11" i="5" s="1"/>
  <c r="D3" i="4"/>
  <c r="B3" i="4"/>
  <c r="B18" i="5" s="1"/>
  <c r="C3" i="4"/>
  <c r="H6" i="5" s="1"/>
  <c r="E3" i="4"/>
  <c r="B4" i="4"/>
  <c r="B10" i="5" s="1"/>
  <c r="D12" i="4"/>
  <c r="D13" i="4"/>
  <c r="E2" i="4"/>
  <c r="C2" i="4"/>
  <c r="B6" i="5" s="1"/>
  <c r="E7" i="4"/>
  <c r="C7" i="4"/>
  <c r="H10" i="5" s="1"/>
  <c r="D8" i="4"/>
  <c r="E6" i="4"/>
  <c r="D6" i="4"/>
  <c r="E4" i="4"/>
  <c r="D4" i="4"/>
  <c r="B12" i="4"/>
  <c r="B19" i="5" s="1"/>
  <c r="E12" i="4"/>
  <c r="C12" i="4"/>
  <c r="B16" i="5" s="1"/>
  <c r="E13" i="4"/>
  <c r="B13" i="4"/>
  <c r="B13" i="5" s="1"/>
  <c r="B2" i="4"/>
  <c r="B12" i="5" s="1"/>
  <c r="D2" i="4"/>
  <c r="B7" i="4"/>
  <c r="B7" i="5" s="1"/>
  <c r="D7" i="4"/>
  <c r="E8" i="4"/>
  <c r="C6" i="4"/>
  <c r="B11" i="5" s="1"/>
  <c r="C4" i="4"/>
  <c r="H7" i="5" s="1"/>
  <c r="B8" i="4"/>
  <c r="B15" i="5" s="1"/>
  <c r="C13" i="4"/>
  <c r="H16" i="5" s="1"/>
  <c r="C8" i="4"/>
  <c r="H21" i="5" s="1"/>
  <c r="B6" i="4"/>
  <c r="B8" i="5" s="1"/>
  <c r="B14" i="4" l="1"/>
  <c r="B14" i="5"/>
  <c r="A17" i="4"/>
  <c r="A24" i="4"/>
  <c r="A22" i="4"/>
  <c r="A19" i="4"/>
  <c r="A27" i="4"/>
  <c r="A23" i="4"/>
  <c r="A20" i="4"/>
  <c r="A25" i="4"/>
  <c r="A18" i="4"/>
  <c r="A26" i="4"/>
  <c r="A21" i="4"/>
  <c r="A16" i="4"/>
  <c r="B17" i="4" l="1"/>
  <c r="C7" i="3" s="1"/>
  <c r="C17" i="4"/>
  <c r="B24" i="4"/>
  <c r="C14" i="3" s="1"/>
  <c r="C24" i="4"/>
  <c r="B22" i="4"/>
  <c r="C12" i="3" s="1"/>
  <c r="C22" i="4"/>
  <c r="B19" i="4"/>
  <c r="C9" i="3" s="1"/>
  <c r="C19" i="4"/>
  <c r="C27" i="4"/>
  <c r="B27" i="4"/>
  <c r="C17" i="3" s="1"/>
  <c r="C23" i="4"/>
  <c r="B23" i="4"/>
  <c r="C13" i="3" s="1"/>
  <c r="B20" i="4"/>
  <c r="C10" i="3" s="1"/>
  <c r="C20" i="4"/>
  <c r="C25" i="4"/>
  <c r="B25" i="4"/>
  <c r="C15" i="3" s="1"/>
  <c r="B18" i="4"/>
  <c r="C8" i="3" s="1"/>
  <c r="C18" i="4"/>
  <c r="C26" i="4"/>
  <c r="B26" i="4"/>
  <c r="C16" i="3" s="1"/>
  <c r="C21" i="4"/>
  <c r="B21" i="4"/>
  <c r="C11" i="3" s="1"/>
  <c r="B16" i="4"/>
  <c r="C16" i="4"/>
  <c r="D7" i="3" l="1"/>
  <c r="G7" i="3"/>
  <c r="D14" i="3"/>
  <c r="G14" i="3"/>
  <c r="D12" i="3"/>
  <c r="G12" i="3"/>
  <c r="D9" i="3"/>
  <c r="G9" i="3"/>
  <c r="D17" i="3"/>
  <c r="G17" i="3"/>
  <c r="D13" i="3"/>
  <c r="G13" i="3"/>
  <c r="D10" i="3"/>
  <c r="G10" i="3"/>
  <c r="G15" i="3"/>
  <c r="D15" i="3"/>
  <c r="D8" i="3"/>
  <c r="G8" i="3"/>
  <c r="G16" i="3"/>
  <c r="D16" i="3"/>
  <c r="D11" i="3"/>
  <c r="G11" i="3"/>
  <c r="C6" i="3"/>
  <c r="D29" i="4"/>
  <c r="D25" i="4"/>
  <c r="C14" i="4" s="1"/>
  <c r="D6" i="3"/>
  <c r="G6" i="3"/>
  <c r="E7" i="3" l="1"/>
  <c r="F7" i="3"/>
  <c r="F14" i="3"/>
  <c r="E14" i="3"/>
  <c r="E12" i="3"/>
  <c r="F12" i="3"/>
  <c r="E9" i="3"/>
  <c r="F9" i="3"/>
  <c r="E17" i="3"/>
  <c r="F17" i="3"/>
  <c r="F13" i="3"/>
  <c r="E13" i="3"/>
  <c r="E10" i="3"/>
  <c r="F10" i="3"/>
  <c r="E15" i="3"/>
  <c r="F15" i="3"/>
  <c r="E8" i="3"/>
  <c r="F8" i="3"/>
  <c r="F16" i="3"/>
  <c r="E16" i="3"/>
  <c r="E11" i="3"/>
  <c r="F11" i="3"/>
  <c r="H13" i="5"/>
  <c r="H14" i="5"/>
  <c r="H18" i="5"/>
  <c r="H8" i="5"/>
  <c r="H15" i="5"/>
  <c r="H9" i="5"/>
  <c r="H12" i="5"/>
  <c r="H19" i="5"/>
  <c r="E6" i="3"/>
  <c r="F6" i="3"/>
</calcChain>
</file>

<file path=xl/sharedStrings.xml><?xml version="1.0" encoding="utf-8"?>
<sst xmlns="http://schemas.openxmlformats.org/spreadsheetml/2006/main" count="6139" uniqueCount="1336">
  <si>
    <t>PARTIDOS DE GRUPOS</t>
  </si>
  <si>
    <t>ID</t>
  </si>
  <si>
    <t>Grupo</t>
  </si>
  <si>
    <t>Equipo 1</t>
  </si>
  <si>
    <t>Goles</t>
  </si>
  <si>
    <t>vs</t>
  </si>
  <si>
    <t>Equipo 2</t>
  </si>
  <si>
    <t>Estado</t>
  </si>
  <si>
    <t>Fecha y Hora</t>
  </si>
  <si>
    <t>Equipo</t>
  </si>
  <si>
    <t>PJ</t>
  </si>
  <si>
    <t>PG</t>
  </si>
  <si>
    <t>PE</t>
  </si>
  <si>
    <t>PP</t>
  </si>
  <si>
    <t>GF</t>
  </si>
  <si>
    <t>GC</t>
  </si>
  <si>
    <t>DIF</t>
  </si>
  <si>
    <t>PTS</t>
  </si>
  <si>
    <t>SCORE TIEBREAK</t>
  </si>
  <si>
    <t>GRUPO A</t>
  </si>
  <si>
    <t>México</t>
  </si>
  <si>
    <t>-</t>
  </si>
  <si>
    <t>Sudáfrica</t>
  </si>
  <si>
    <t>Jueves, 11 de junio 2026 - 13:00</t>
  </si>
  <si>
    <t>A</t>
  </si>
  <si>
    <t>Corea del Sur</t>
  </si>
  <si>
    <t>Chequia</t>
  </si>
  <si>
    <t>Jueves, 11 de junio 2026 - 20:00</t>
  </si>
  <si>
    <t>Jueves, 18 de junio 2026 - 19:00</t>
  </si>
  <si>
    <t>Jueves, 18 de junio 2026 - 10:00</t>
  </si>
  <si>
    <t>Miércoles, 24 de junio 2026 - 19:00</t>
  </si>
  <si>
    <t>B</t>
  </si>
  <si>
    <t>Canadá</t>
  </si>
  <si>
    <t>GRUPO B</t>
  </si>
  <si>
    <t>Bosnia y Herze.</t>
  </si>
  <si>
    <t>Viernes, 12 de junio 2026 - 13:00</t>
  </si>
  <si>
    <t>Qatar</t>
  </si>
  <si>
    <t>Suiza</t>
  </si>
  <si>
    <t>Sábado, 13 de junio 2026 - 13:00</t>
  </si>
  <si>
    <t>Jueves, 18 de junio 2026 - 16:00</t>
  </si>
  <si>
    <t>Jueves, 18 de junio 2026 - 13:00</t>
  </si>
  <si>
    <t>Miércoles, 24 de junio 2026 - 13:00</t>
  </si>
  <si>
    <t>C</t>
  </si>
  <si>
    <t>Brasil</t>
  </si>
  <si>
    <t>Marruecos</t>
  </si>
  <si>
    <t>Haití</t>
  </si>
  <si>
    <t>GRUPO C</t>
  </si>
  <si>
    <t>Escocia</t>
  </si>
  <si>
    <t>Sábado, 13 de junio 2026 - 16:00</t>
  </si>
  <si>
    <t>Sábado, 13 de junio 2026 - 19:00</t>
  </si>
  <si>
    <t>Viernes, 19 de junio 2026 - 19:00</t>
  </si>
  <si>
    <t>D</t>
  </si>
  <si>
    <t>Estados Unidos</t>
  </si>
  <si>
    <t>Viernes, 19 de junio 2026 - 16:00</t>
  </si>
  <si>
    <t>Paraguay</t>
  </si>
  <si>
    <t>Miércoles, 24 de junio 2026 - 16:00</t>
  </si>
  <si>
    <t>Australia</t>
  </si>
  <si>
    <t>Turquía</t>
  </si>
  <si>
    <t>GRUPO D</t>
  </si>
  <si>
    <t>Viernes, 12 de junio 2026 - 19:00</t>
  </si>
  <si>
    <t>E</t>
  </si>
  <si>
    <t>Alemania</t>
  </si>
  <si>
    <t>Sábado, 13 de junio 2026 - 22:00</t>
  </si>
  <si>
    <t>Curaçao</t>
  </si>
  <si>
    <t>Viernes, 19 de junio 2026 - 13:00</t>
  </si>
  <si>
    <t>Costa de Marfil</t>
  </si>
  <si>
    <t>Viernes, 19 de junio 2026 - 22:00</t>
  </si>
  <si>
    <t>Ecuador</t>
  </si>
  <si>
    <t>Jueves, 25 de junio 2026 - 20:00</t>
  </si>
  <si>
    <t>F</t>
  </si>
  <si>
    <t>Países Bajos</t>
  </si>
  <si>
    <t>GRUPO E</t>
  </si>
  <si>
    <t>Japón</t>
  </si>
  <si>
    <t>Domingo, 14 de junio 2026 - 11:00</t>
  </si>
  <si>
    <t>Suecia</t>
  </si>
  <si>
    <t>Domingo, 14 de junio 2026 - 17:00</t>
  </si>
  <si>
    <t>Túnez</t>
  </si>
  <si>
    <t>Sábado, 20 de junio 2026 - 14:00</t>
  </si>
  <si>
    <t>Viernes, 19 de junio 2026 - 14:00</t>
  </si>
  <si>
    <t>Jueves, 25 de junio 2026 - 14:00</t>
  </si>
  <si>
    <t>G</t>
  </si>
  <si>
    <t>Bélgica</t>
  </si>
  <si>
    <t>Miércoles, 24 de junio 2026 - 14:00</t>
  </si>
  <si>
    <t>Egipto</t>
  </si>
  <si>
    <t>Irán</t>
  </si>
  <si>
    <t>GRUPO F</t>
  </si>
  <si>
    <t>Nueva Zelanda</t>
  </si>
  <si>
    <t>Domingo, 14 de junio 2026 - 14:00</t>
  </si>
  <si>
    <t>Domingo, 14 de junio 2026 - 20:00</t>
  </si>
  <si>
    <t>Sábado, 20 de junio 2026 - 11:00</t>
  </si>
  <si>
    <t>H</t>
  </si>
  <si>
    <t>España</t>
  </si>
  <si>
    <t>Sábado, 20 de junio 2026 - 22:00</t>
  </si>
  <si>
    <t>Cabo Verde</t>
  </si>
  <si>
    <t>Jueves, 25 de junio 2026 - 17:00</t>
  </si>
  <si>
    <t>Arabia Saud.</t>
  </si>
  <si>
    <t>Uruguay</t>
  </si>
  <si>
    <t>GRUPO G</t>
  </si>
  <si>
    <t>Lunes, 15 de junio 2026 - 13:00</t>
  </si>
  <si>
    <t>I</t>
  </si>
  <si>
    <t>Francia</t>
  </si>
  <si>
    <t>Lunes, 15 de junio 2026 - 19:00</t>
  </si>
  <si>
    <t>Senegal</t>
  </si>
  <si>
    <t>Domingo, 21 de junio 2026 - 13:00</t>
  </si>
  <si>
    <t>Irak</t>
  </si>
  <si>
    <t>Domingo, 21 de junio 2026 - 19:00</t>
  </si>
  <si>
    <t>Noruega</t>
  </si>
  <si>
    <t>Viernes, 26 de junio 2026 - 21:00</t>
  </si>
  <si>
    <t>J</t>
  </si>
  <si>
    <t>Argentina</t>
  </si>
  <si>
    <t>GRUPO H</t>
  </si>
  <si>
    <t>Argelia</t>
  </si>
  <si>
    <t>Lunes, 15 de junio 2026 - 10:00</t>
  </si>
  <si>
    <t>Austria</t>
  </si>
  <si>
    <t>Lunes, 15 de junio 2026 - 16:00</t>
  </si>
  <si>
    <t>Jordania</t>
  </si>
  <si>
    <t>Domingo, 21 de junio 2026 - 10:00</t>
  </si>
  <si>
    <t>Domingo, 21 de junio 2026 - 16:00</t>
  </si>
  <si>
    <t>Viernes, 26 de junio 2026 - 18:00</t>
  </si>
  <si>
    <t>K</t>
  </si>
  <si>
    <t>Portugal</t>
  </si>
  <si>
    <t>RD Congo</t>
  </si>
  <si>
    <t>Uzbekistán</t>
  </si>
  <si>
    <t>GRUPO I</t>
  </si>
  <si>
    <t>Colombia</t>
  </si>
  <si>
    <t>Martes, 16 de junio 2026 - 13:00</t>
  </si>
  <si>
    <t>Martes, 16 de junio 2026 - 16:00</t>
  </si>
  <si>
    <t>Lunes, 22 de junio 2026 - 15:00</t>
  </si>
  <si>
    <t>L</t>
  </si>
  <si>
    <t>Inglaterra</t>
  </si>
  <si>
    <t>Lunes, 22 de junio 2026 - 18:00</t>
  </si>
  <si>
    <t>Croacia</t>
  </si>
  <si>
    <t>Viernes, 26 de junio 2026 - 13:00</t>
  </si>
  <si>
    <t>Ghana</t>
  </si>
  <si>
    <t>Panamá</t>
  </si>
  <si>
    <t>GRUPO J</t>
  </si>
  <si>
    <t>Martes, 16 de junio 2026 - 19:00</t>
  </si>
  <si>
    <t>Martes, 16 de junio 2026 - 22:00</t>
  </si>
  <si>
    <t>Lunes, 22 de junio 2026 - 11:00</t>
  </si>
  <si>
    <t>Lunes, 22 de junio 2026 - 21:00</t>
  </si>
  <si>
    <t>Sábado, 27 de junio 2026 - 20:00</t>
  </si>
  <si>
    <t>GRUPO K</t>
  </si>
  <si>
    <t>Miércoles, 17 de junio 2026 - 11:00</t>
  </si>
  <si>
    <t>Miércoles, 17 de junio 2026 - 20:00</t>
  </si>
  <si>
    <t>Martes, 23 de junio 2026 - 11:00</t>
  </si>
  <si>
    <t>Martes, 23 de junio 2026 - 20:00</t>
  </si>
  <si>
    <t>Sábado, 27 de junio 2026 - 17:30</t>
  </si>
  <si>
    <t>GRUPO L</t>
  </si>
  <si>
    <t>Miércoles, 17 de junio 2026 - 14:00</t>
  </si>
  <si>
    <t>Miércoles, 17 de junio 2026 - 17:00</t>
  </si>
  <si>
    <t>Martes, 23 de junio 2026 - 14:00</t>
  </si>
  <si>
    <t>Martes, 23 de junio 2026 - 17:00</t>
  </si>
  <si>
    <t>Sábado, 27 de junio 2026 - 15:00</t>
  </si>
  <si>
    <t>QUINIELA MUNDIAL DE FÚTBOL 2026 - 100% AUTOMATIZADA</t>
  </si>
  <si>
    <t>La Copa Mundial de la FIFA 26™ tendrá 48 equipos divididos en doce grupos con cuatro equipos cada uno.</t>
  </si>
  <si>
    <t>Los dos primeros de cada grupo y los ocho mejores terceros avanzarán a los dieciseisavos de final.</t>
  </si>
  <si>
    <t>Los equipos que lleguen a la final del 19 de julio habrán disputado ocho partidos, uno más que en Catar 2022.</t>
  </si>
  <si>
    <t>El nuevo esquema establece que los equipos que lleguen a la final, a jugarse el domingo 19 de julio, tendrán que haber atravesado ocho partidos, uno más de los disputados en la última Copa Mundial de la FIFA 2022™, en Catar.</t>
  </si>
  <si>
    <t>CÓMO FUNCIONA:</t>
  </si>
  <si>
    <t>1. Pestaña 'Grupos': Ingresa los resultados. Las tablas se calculan en tiempo real.</t>
  </si>
  <si>
    <t>2. Pestaña 'Eliminatorias': Al ir llenando, los nombres se auto-completan.</t>
  </si>
  <si>
    <t>3. Puedes empezar a llenar y los líderes de cada grupo aparecerán de inmediato.</t>
  </si>
  <si>
    <t>4. Guarda tu quiniela con tu nombre y apellido. Ejemplo: Quiniela_Cristiano_Ronaldo.xlsx, Quiniela_Lionel_Messi.xlsx</t>
  </si>
  <si>
    <t>Sistema de Puntuación</t>
  </si>
  <si>
    <t>Fase de Grupos:</t>
  </si>
  <si>
    <t>3 puntos por acertar el marcador exacto de un partido.</t>
  </si>
  <si>
    <t>1 punto por acertar el resultado (ganador o empate) sin atinarle al marcador exacto.</t>
  </si>
  <si>
    <t>Fase Eliminatoria:</t>
  </si>
  <si>
    <t>5 puntos por acertar el marcador exacto (solo si atinaste a los equipos que jugaban).</t>
  </si>
  <si>
    <t>2 puntos por acertar al ganador del partido.</t>
  </si>
  <si>
    <t>Puntos adicionales por clasificación: (Si el equipo que predijiste realmente avanza a esa fase)</t>
  </si>
  <si>
    <t>Dieciseisavos: +2 puntos por equipo</t>
  </si>
  <si>
    <t>Octavos: +4 puntos por equipo</t>
  </si>
  <si>
    <t>Cuartos: +6 puntos por equipo</t>
  </si>
  <si>
    <t>Semifinales: +8 puntos por equipo</t>
  </si>
  <si>
    <t>Tercer Lugar / Final: +10 / +12 puntos por equipo</t>
  </si>
  <si>
    <t>Podio (Predicciones Finales):</t>
  </si>
  <si>
    <t>15 puntos al acertar al Campeón.</t>
  </si>
  <si>
    <t>10 puntos al acertar al Subcampeón.</t>
  </si>
  <si>
    <t>10 puntos al acertar al 3er Lugar.</t>
  </si>
  <si>
    <t>Desarrollado por:</t>
  </si>
  <si>
    <t>Salvador Velasco Téllez</t>
  </si>
  <si>
    <t>salvador.velasco@gmail.com</t>
  </si>
  <si>
    <t>RANKING DE MEJORES TERCEROS LUGARES</t>
  </si>
  <si>
    <t>Posición</t>
  </si>
  <si>
    <t>Clasifica a 16avos</t>
  </si>
  <si>
    <t>1ro</t>
  </si>
  <si>
    <t>2do</t>
  </si>
  <si>
    <t>3ro</t>
  </si>
  <si>
    <t>3ro Index</t>
  </si>
  <si>
    <t>Rank</t>
  </si>
  <si>
    <t>Grupo 3ro</t>
  </si>
  <si>
    <t>Equipo 3ro</t>
  </si>
  <si>
    <t>M#</t>
  </si>
  <si>
    <t>Team 1</t>
  </si>
  <si>
    <t>Combo 3ros:</t>
  </si>
  <si>
    <t>FASE FINAL (ELIMINACIÓN DIRECTA)</t>
  </si>
  <si>
    <t>DIECISEISAVOS DE FINAL (Ronda de 32)</t>
  </si>
  <si>
    <t>Partido</t>
  </si>
  <si>
    <t>Equipo A</t>
  </si>
  <si>
    <t>Pen.</t>
  </si>
  <si>
    <t>Equipo B</t>
  </si>
  <si>
    <t>Clasifica</t>
  </si>
  <si>
    <t>Fecha y Estadio</t>
  </si>
  <si>
    <t>1/16 - P1</t>
  </si>
  <si>
    <t>Domingo, 28 de junio 2026 - Estadio Los Ángeles</t>
  </si>
  <si>
    <t>1/16 - P2</t>
  </si>
  <si>
    <t>Lunes, 29 de junio 2026 - Estadio Boston</t>
  </si>
  <si>
    <t>1/16 - P3</t>
  </si>
  <si>
    <t>Lunes, 29 de junio 2026 - Estadio Monterrey</t>
  </si>
  <si>
    <t>1/16 - P4</t>
  </si>
  <si>
    <t>Lunes, 29 de junio 2026 - Estadio Houston</t>
  </si>
  <si>
    <t>1/16 - P5</t>
  </si>
  <si>
    <t>Martes, 30 de junio 2026 - Estadio Nueva York Nueva Jersey</t>
  </si>
  <si>
    <t>1/16 - P6</t>
  </si>
  <si>
    <t>Martes, 30 de junio 2026 - Estadio Dallas</t>
  </si>
  <si>
    <t>1/16 - P7</t>
  </si>
  <si>
    <t>Martes, 30 de junio 2026 - Estadio Ciudad de México</t>
  </si>
  <si>
    <t>1/16 - P8</t>
  </si>
  <si>
    <t>Miércoles, 1 de julio 2026 - Estadio Atlanta</t>
  </si>
  <si>
    <t>1/16 - P9</t>
  </si>
  <si>
    <t>Miércoles, 1 de julio 2026 - Estadio Bahía de San Francisco</t>
  </si>
  <si>
    <t>1/16 - P10</t>
  </si>
  <si>
    <t>Miércoles, 1 de julio 2026 - Estadio Seattle</t>
  </si>
  <si>
    <t>1/16 - P11</t>
  </si>
  <si>
    <t>Jueves, 2 de julio 2026 - Estadio Toronto</t>
  </si>
  <si>
    <t>1/16 - P12</t>
  </si>
  <si>
    <t>Jueves, 2 de julio 2026 - Estadio Los Ángeles</t>
  </si>
  <si>
    <t>1/16 - P13</t>
  </si>
  <si>
    <t>Jueves, 2 de julio 2026 - Estadio BC Place Vancouver</t>
  </si>
  <si>
    <t>1/16 - P14</t>
  </si>
  <si>
    <t>Viernes, 3 de julio 2026 - Estadio Miami</t>
  </si>
  <si>
    <t>1/16 - P15</t>
  </si>
  <si>
    <t>Viernes, 3 de julio 2026 - Estadio Kansas City</t>
  </si>
  <si>
    <t>1/16 - P16</t>
  </si>
  <si>
    <t>Viernes, 3 de julio 2026 - Estadio Dallas</t>
  </si>
  <si>
    <t>OCTAVOS DE FINAL</t>
  </si>
  <si>
    <t>1/8 - P1</t>
  </si>
  <si>
    <t>Sábado, 4 de julio 2026 - Estadio Filadelfia</t>
  </si>
  <si>
    <t>1/8 - P2</t>
  </si>
  <si>
    <t>Sábado, 4 de julio 2026 - Estadio Houston</t>
  </si>
  <si>
    <t>1/8 - P3</t>
  </si>
  <si>
    <t>Domingo, 5 de julio 2026 - Estadio Nueva York Nueva Jersey</t>
  </si>
  <si>
    <t>1/8 - P4</t>
  </si>
  <si>
    <t>Domingo, 5 de julio 2026 - Estadio Ciudad de México</t>
  </si>
  <si>
    <t>1/8 - P5</t>
  </si>
  <si>
    <t>Lunes, 6 de julio 2026 - Estadio Dallas</t>
  </si>
  <si>
    <t>1/8 - P6</t>
  </si>
  <si>
    <t>Lunes, 6 de julio 2026 - Estadio Seattle</t>
  </si>
  <si>
    <t>1/8 - P7</t>
  </si>
  <si>
    <t>Martes, 7 de julio 2026 - Estadio Atlanta</t>
  </si>
  <si>
    <t>1/8 - P8</t>
  </si>
  <si>
    <t>Martes, 7 de julio 2026 - Estadio BC Place Vancouver</t>
  </si>
  <si>
    <t>CUARTOS DE FINAL</t>
  </si>
  <si>
    <t>1/4 - P1</t>
  </si>
  <si>
    <t>Jueves, 9 de julio 2026 - Estadio Boston</t>
  </si>
  <si>
    <t>1/4 - P2</t>
  </si>
  <si>
    <t>Viernes, 10 de julio 2026 - Estadio Los Ángeles</t>
  </si>
  <si>
    <t>1/4 - P3</t>
  </si>
  <si>
    <t>Sábado, 11 de julio 2026 - Estadio Miami</t>
  </si>
  <si>
    <t>1/4 - P4</t>
  </si>
  <si>
    <t>Sábado, 11 de julio 2026 - Estadio Kansas City</t>
  </si>
  <si>
    <t>SEMIFINALES</t>
  </si>
  <si>
    <t>Semi - P1</t>
  </si>
  <si>
    <t>Martes, 14 de julio 2026 - Estadio Dallas</t>
  </si>
  <si>
    <t>Semi - P2</t>
  </si>
  <si>
    <t>Miércoles, 15 de julio 2026 - Estadio Atlanta</t>
  </si>
  <si>
    <t>PARTIDO POR EL TERCER LUGAR</t>
  </si>
  <si>
    <t>Tercer Lugar</t>
  </si>
  <si>
    <t>Sábado, 18 de julio 2026 - Estadio Miami</t>
  </si>
  <si>
    <t>GRAN FINAL</t>
  </si>
  <si>
    <t>Gran Final</t>
  </si>
  <si>
    <t>Domingo, 19 de julio 2026 - Estadio Nueva York Nueva Jersey</t>
  </si>
  <si>
    <t>PODIO DE HONOR 🏆</t>
  </si>
  <si>
    <t>CAMPEÓN MUNDIAL 🏆</t>
  </si>
  <si>
    <t>Subcampeón 🥈</t>
  </si>
  <si>
    <t>Tercer Lugar 🥉</t>
  </si>
  <si>
    <t>Fase de grupos: calendario y horarios de la Copa Mundial de la FIFA 2026™</t>
  </si>
  <si>
    <t>Todos los horarios son de la Ciudad de México.</t>
  </si>
  <si>
    <t>Jueves, 11 de junio 2026</t>
  </si>
  <si>
    <t>13:00 - México v Sudáfrica – Grupo A - Estadio Ciudad de México</t>
  </si>
  <si>
    <t>20:00 - República de Corea v República Checa – Grupo A - Estadio Guadalajara</t>
  </si>
  <si>
    <t>Viernes, 12 de junio 2026</t>
  </si>
  <si>
    <t>13:00 - Canadá v Bosnia y Herzegovina – Grupo B - Estadio Toronto</t>
  </si>
  <si>
    <t>19:00 - Estados Unidos v Paraguay – Grupo D - Estadio Los Ángeles</t>
  </si>
  <si>
    <t>Sábado, 13 de junio 2026</t>
  </si>
  <si>
    <t>13:00 - Catar v Suiza – Grupo B - Estadio Bahía de San Francisco</t>
  </si>
  <si>
    <t>16:00 - Brasil v Marruecos – Grupo C - Estadio Nueva York Nueva Jersey</t>
  </si>
  <si>
    <t>19:00 - Haití v Escocia – Grupo C - Estadio Boston</t>
  </si>
  <si>
    <t>22:00 - Australia v Turquía – Grupo D - Estadio BC Place Vancouver</t>
  </si>
  <si>
    <t>Domingo, 14 de junio 2026</t>
  </si>
  <si>
    <t>11:00 - Alemania v Curazao – Grupo E - Estadio Houston</t>
  </si>
  <si>
    <t>14:00 - Países Bajos v Japón – Grupo F - Estadio Dallas</t>
  </si>
  <si>
    <t>17:00 - Costa de Marfil v Ecuador – Grupo E - Estadio Filadelfia</t>
  </si>
  <si>
    <t>20:00 - Suecia v Túnez – Grupo F - Estadio Monterrey</t>
  </si>
  <si>
    <t>Lunes, 15 de junio 2026</t>
  </si>
  <si>
    <t>10:00 - España v Cabo Verde – Grupo H - Estadio Atlanta</t>
  </si>
  <si>
    <t>13:00 - Bélgica v Egipto – Grupo G - Estadio Seattle</t>
  </si>
  <si>
    <t>16:00 - Arabia Saudí v Uruguay – Grupo H - Estadio Miami</t>
  </si>
  <si>
    <t>19:00 - RI de Irán v Nueva Zelanda – Grupo G - Estadio Los Ángeles</t>
  </si>
  <si>
    <t>Martes, 16 de junio 2026</t>
  </si>
  <si>
    <t>13:00 - Francia v Senegal – Grupo I - Estadio Nueva York Nueva Jersey</t>
  </si>
  <si>
    <t>16:00 - Irak v Noruega – Grupo I - Estadio Boston</t>
  </si>
  <si>
    <t>19:00 - Argentina v Argelia – Grupo J - Estadio Kansas City</t>
  </si>
  <si>
    <t>22:00 - Austria v Jordania – Grupo J - Estadio Bahía de San Francisco</t>
  </si>
  <si>
    <t>Miércoles, 17 de junio 2026</t>
  </si>
  <si>
    <t>11:00 - Portugal v RD Congo – Grupo K - Estadio Houston</t>
  </si>
  <si>
    <t>14:00 - Inglaterra v Croacia – Grupo L - Estadio Dallas</t>
  </si>
  <si>
    <t>17:00 - Ghana v Panamá – Grupo L - Estadio Toronto</t>
  </si>
  <si>
    <t>20:00 - Uzbekistán v Colombia – Grupo K - Estadio Ciudad de México</t>
  </si>
  <si>
    <t>Jueves, 18 de junio 2026</t>
  </si>
  <si>
    <t>10:00 - República Checa v Sudáfrica – Grupo A - Estadio Atlanta</t>
  </si>
  <si>
    <t>13:00 - Suiza v Bosnia y Herzegovina – Grupo B - Estadio Los Ángeles</t>
  </si>
  <si>
    <t>16:00 - Canadá v Catar – Grupo B - Estadio BC Place Vancouver</t>
  </si>
  <si>
    <t>19:00 - México v República de Corea – Grupo A - Estadio Guadalajara</t>
  </si>
  <si>
    <t>Viernes, 19 de junio 2026</t>
  </si>
  <si>
    <t>13:00 - Estados Unidos v Australia – Grupo D - Estadio Seattle</t>
  </si>
  <si>
    <t>16:00 - Escocia v Marruecos – Grupo C - Estadio Boston</t>
  </si>
  <si>
    <t>19:00 - Brasil v Haití – Grupo C - Estadio Filadelfia</t>
  </si>
  <si>
    <t>22:00 - Turquía v Paraguay – Grupo D - Estadio Bahía de San Francisco</t>
  </si>
  <si>
    <t>Sábado, 20 de junio 2026</t>
  </si>
  <si>
    <t>11:00 - Países Bajos v Suecia – Grupo F - Estadio Houston</t>
  </si>
  <si>
    <t>14:00 - Alemania v Costa de Marfil – Grupo E - Estadio Toronto</t>
  </si>
  <si>
    <t>20:00 - Ecuador v Curazao – Grupo E - Estadio Kansas City</t>
  </si>
  <si>
    <t>22:00 - Túnez v Japón – Grupo F - Estadio Monterrey</t>
  </si>
  <si>
    <t>Domingo, 21 de junio 2026</t>
  </si>
  <si>
    <t>10:00 - España v Arabia Saudí – Grupo H - Estadio Atlanta</t>
  </si>
  <si>
    <t>13:00 - Bélgica v Irán – Grupo G - Estadio Los Ángeles</t>
  </si>
  <si>
    <t>16:00 - Uruguay v Cabo Verde – Grupo H - Estadio Miami</t>
  </si>
  <si>
    <t>19:00 - Nueva Zelanda v Egipto – Grupo G - Estadio BC Place Vancouver</t>
  </si>
  <si>
    <t>Lunes, 22 de junio 2026</t>
  </si>
  <si>
    <t>11:00 - Argentina v Austria – Grupo J - Estadio Dallas</t>
  </si>
  <si>
    <t>15:00 - Francia v Irak – Grupo I - Estadio Filadelfia</t>
  </si>
  <si>
    <t>18:00 - Noruega v Senegal – Grupo I - Estadio Nueva York Nueva Jersey</t>
  </si>
  <si>
    <t>21:00 - Jordania v Argelia – Grupo J - Estadio Bahía de San Francisco Bay</t>
  </si>
  <si>
    <t>Martes, 23 de junio 2026</t>
  </si>
  <si>
    <t>11:00 - Portugal v Uzbekistán – Grupo K - Estadio Houston</t>
  </si>
  <si>
    <t>14:00 - Inglaterra v Ghana – Grupo L - Estadio Boston</t>
  </si>
  <si>
    <t>17:00 - Panamá v Croacia – Grupo L - Estadio Toronto</t>
  </si>
  <si>
    <t>20:00 - Colombia v RD Congo – Grupo K - Estadio Guadalajara</t>
  </si>
  <si>
    <t>Miércoles, 24 de junio 2026</t>
  </si>
  <si>
    <t>13:00 - Suiza v Canadá – Grupo B - Estadio BC Place Vancouver</t>
  </si>
  <si>
    <t>13:00 - Bosnia y Herzegovina v Catar – Grupo B - Estadio Seattle</t>
  </si>
  <si>
    <t>16:00 - Escocia v Brasil – Grupo C - Estadio Miami</t>
  </si>
  <si>
    <t>16:00 - Marruecos v Haití – Grupo C - Estadio Atlanta</t>
  </si>
  <si>
    <t>19:00 - República Checa v México – Grupo A - Estadio Ciudad de México</t>
  </si>
  <si>
    <t>19:00 - Sudáfrica v República de Corea – Grupo A - Estadio Monterrey</t>
  </si>
  <si>
    <t>Jueves, 25 de junio 2026</t>
  </si>
  <si>
    <t>14:00 - Curazao v Costa de Marfil – Grupo E - Estadio Filadelfia</t>
  </si>
  <si>
    <t>14:00 - Ecuador v Alemania – Grupo E - Estadio Nueva York Nueva Jersey</t>
  </si>
  <si>
    <t>17:00 - Japón v Suecia – Grupo F - Estadio Dallas</t>
  </si>
  <si>
    <t>17:00 - Túnez v Países Bajos – Grupo F - Estadio Kansas City</t>
  </si>
  <si>
    <t>20:00 - Turquía v Estados Unidos – Grupo D - Estadio Los Ángeles</t>
  </si>
  <si>
    <t>20:00 - Paraguay v Australia – Grupo D - Estadio Bahía de San Francisco</t>
  </si>
  <si>
    <t>Viernes, 26 de junio 2026</t>
  </si>
  <si>
    <t>13:00 - Noruega v Francia – Grupo I - Estadio Boston</t>
  </si>
  <si>
    <t>13:00 - Senegal v Irak – Grupo I - Estadio Toronto</t>
  </si>
  <si>
    <t>18:00 - Cabo Verde v Arabia Saudí – Grupo H - Estadio Houston</t>
  </si>
  <si>
    <t>18:00 - Uruguay v España – Grupo H - Estadio Guadalajara</t>
  </si>
  <si>
    <t>21:00 - Egipto v Irán – Grupo G - Estadio Seattle</t>
  </si>
  <si>
    <t>21:00 - Nueva Zelanda v Bélgica – Grupo G - Estadio BC Place Vancouver</t>
  </si>
  <si>
    <t>Sábado, 27 de junio 2026</t>
  </si>
  <si>
    <t>15:00 - Panamá v Inglaterra – Grupo L - Estadio Nueva York Nueva Jersey</t>
  </si>
  <si>
    <t>15:00 - Croacia v Ghana – Grupo L - Estadio Filadelfia</t>
  </si>
  <si>
    <t>17:30 - Colombia v Portugal – Grupo K - Estadio Miami</t>
  </si>
  <si>
    <t>17:30 - RD Congo v Uzbekistán – Grupo K - Estadio Atlanta</t>
  </si>
  <si>
    <t>20:00 - Argelia v Austria – Grupo J - Estadio Kansas City</t>
  </si>
  <si>
    <t>20:00 - Jordania v Argentina – Grupo J - Estadio Dallas</t>
  </si>
  <si>
    <t>Copa Mundial de la FIFA 2026™ – Dieciseisavos de final</t>
  </si>
  <si>
    <t>Domingo, 28 de junio 2026</t>
  </si>
  <si>
    <t>Partido 73 – 2º Grupo A v 2º Grupo B - Estadio Los Ángeles</t>
  </si>
  <si>
    <t>Lunes, 29 de junio 2026</t>
  </si>
  <si>
    <t>Partido 74 – 1º Grupo E v 3º Grupo A/B/C/D/F - Estadio Boston</t>
  </si>
  <si>
    <t>Partido 75 – 1º Grupo F v 2º Grupo C - Estadio Monterrey</t>
  </si>
  <si>
    <t>Partido 76 – 1º Grupo C v 2º Grupo F - Estadio Houston</t>
  </si>
  <si>
    <t>Martes, 30 de junio 2026</t>
  </si>
  <si>
    <t>Partido 77 – 1º Grupo I v 3º Grupo C/D/F/G/H - Estadio Nueva York Nueva Jersey</t>
  </si>
  <si>
    <t>Partido 78 – 2º Grupo E v 2º Grupo I - Estadio Dallas</t>
  </si>
  <si>
    <t>Partido 79 – 1º Grupo A v 3º Grupo C/E/F/H/I - Estadio Ciudad de México</t>
  </si>
  <si>
    <t>Miércoles, 1 de julio 2026</t>
  </si>
  <si>
    <t>Partido 80 – 1º Grupo L v 3º Grupo E/H/I/J/K - Estadio Atlanta</t>
  </si>
  <si>
    <t>Partido 81 – 1º Grupo D v 3º Grupo B/E/F/I/J - Estadio Bahía de San Francisco</t>
  </si>
  <si>
    <t>Partido 82 – 1º Grupo G v 3º Grupo A/E/H/I/J - Estadio Seattle</t>
  </si>
  <si>
    <t>Jueves, 2 de julio 2026</t>
  </si>
  <si>
    <t>Partido 83 – 2º Grupo K v 2º Grupo L - Estadio Toronto</t>
  </si>
  <si>
    <t>Partido 84 – 1º Grupo H v 2º Grupo J - Estadio Los Ángeles</t>
  </si>
  <si>
    <t>Partido 85 – 1º Grupo B v 3º Grupo E/F/G/I/J - Estadio BC Place Vancouver</t>
  </si>
  <si>
    <t>Viernes, 3 de julio 2026</t>
  </si>
  <si>
    <t>Partido 86 – 1º Grupo J v 2º Grupo H - Estadio Miami</t>
  </si>
  <si>
    <t>Partido 87 – 1º Grupo K v 3º Grupo D/E/I/J/L - Estadio Kansas City</t>
  </si>
  <si>
    <t>Partido 88 – 2º Grupo D v 2º Grupo G - Estadio Dallas</t>
  </si>
  <si>
    <t>Copa Mundial de la FIFA 2026™ – Octavos de final</t>
  </si>
  <si>
    <t>Sábado, 4 de julio 2026</t>
  </si>
  <si>
    <t>Partido 89 – Ganador Partido 74 v Ganador Partido 77 - Estadio Filadelfia</t>
  </si>
  <si>
    <t>Partido 90 – Ganador Partido 73 v Ganador Partido 75 - Estadio Houston</t>
  </si>
  <si>
    <t>Domingo, 5 de julio 2026</t>
  </si>
  <si>
    <t>Partido 91 – Ganador Partido 76 v Ganador Partido 78 - Estadio Nueva York Nueva Jersey</t>
  </si>
  <si>
    <t>Partido 92 – Ganador Partido 79 v Ganador Partido 80 - Estadio Ciudad de México</t>
  </si>
  <si>
    <t>Lunes, 6 de julio 2026</t>
  </si>
  <si>
    <t>Partido 93 – Ganador Partido 83 v Ganador Partido 84 - Estadio Dallas</t>
  </si>
  <si>
    <t>Partido 94 – Ganador Partido 81 v Ganador Partido 82 - Estadio Seattle</t>
  </si>
  <si>
    <t>Martes, 7 de julio 2026</t>
  </si>
  <si>
    <t>Partido 95 – Ganador Partido 86 v Ganador Partido 88 - Estadio Atlanta</t>
  </si>
  <si>
    <t>Partido 96 – Ganador Partido 85 v Ganador Partido 87 - Estadio BC Place Vancouver</t>
  </si>
  <si>
    <t>Copa Mundial de la FIFA 2026™ – Cuartos de final</t>
  </si>
  <si>
    <t>Jueves, 9 de julio 2026</t>
  </si>
  <si>
    <t>Partido 97 – Ganador Partido 89 v Ganador Partido 90 - Estadio Boston</t>
  </si>
  <si>
    <t>Viernes, 10 de julio 2026</t>
  </si>
  <si>
    <t>Partido 98 – Ganador Partido 93 v Ganador Partido 94 - Estadio Los Ángeles</t>
  </si>
  <si>
    <t>Sábado, 11 de julio 2026</t>
  </si>
  <si>
    <t>Partido 99 – Ganador Partido 91 v Ganador Partido 92 - Estadio Miami</t>
  </si>
  <si>
    <t>Partido 100 – Ganador Partido 95 v Ganador Partido 96 - Estadio Kansas City</t>
  </si>
  <si>
    <t>Copa Mundial de la FIFA 2026™ – Semifinales</t>
  </si>
  <si>
    <t>Martes, 14 de julio 2026</t>
  </si>
  <si>
    <t>Partido 101 – Ganador Partido 97 v Ganador Partido 98 - Estadio Dallas</t>
  </si>
  <si>
    <t>Miércoles, 15 de julio 2026</t>
  </si>
  <si>
    <t>Partido 102 – Ganador Partido 99 v Ganador Partido 100 - Estadio Atlanta</t>
  </si>
  <si>
    <t>Copa Mundial de la FIFA 2026™ – Partido por el tercer puesto</t>
  </si>
  <si>
    <t>Sábado, 18 de julio 2026</t>
  </si>
  <si>
    <t>Partido 103 – Perdedor Partido 101 v Perdedor Partido 102 - Estadio Miami</t>
  </si>
  <si>
    <t>Copa Mundial de la FIFA 2026™ – Final</t>
  </si>
  <si>
    <t>Domingo, 19 de julio 2026</t>
  </si>
  <si>
    <t>Partido 104 – Ganador Partido 101 v Ganador Partido 102 - Estadio Nueva York Nueva Jersey</t>
  </si>
  <si>
    <t>Link para descargar archvivo ICS del  Calendario Mundial 2026 para Outlook o iPhone:</t>
  </si>
  <si>
    <t>https://calendar.google.com/calendar/ical/611d68120c62daa60625df08296c3333f1416dbeb64241045a3c75dd62f175d8%40group.calendar.google.com/public/basic.ics</t>
  </si>
  <si>
    <t>Calendario para Google Calendar</t>
  </si>
  <si>
    <t>https://calendar.google.com/calendar/u/4?cid=NjExZDY4MTIwYzYyZGFhNjA2MjVkZjA4Mjk2YzMzMzNmMTQxNmRiZWI2NDI0MTA0NWEzYzc1ZGQ2MmYxNzVkOEBncm91cC5jYWxlbmRhci5nb29nbGUuY29t</t>
  </si>
  <si>
    <t>ABCDEFGH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</si>
  <si>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</si>
  <si>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</si>
  <si>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</si>
  <si>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</si>
  <si>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</si>
  <si>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</si>
  <si>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</si>
  <si>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</si>
  <si>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</si>
  <si>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</si>
  <si>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</si>
  <si>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</si>
  <si>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</si>
  <si>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</si>
  <si>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</si>
  <si>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</si>
  <si>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</si>
  <si>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</si>
  <si>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</si>
  <si>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</si>
  <si>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</si>
  <si>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</si>
  <si>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</si>
  <si>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</si>
  <si>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</si>
  <si>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</si>
  <si>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</si>
  <si>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</si>
  <si>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</si>
  <si>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</si>
  <si>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</si>
  <si>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</si>
  <si>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</si>
  <si>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</si>
  <si>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</si>
  <si>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</si>
  <si>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</si>
  <si>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</si>
  <si>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</si>
  <si>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</si>
  <si>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</si>
  <si>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</si>
  <si>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</si>
  <si>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</si>
  <si>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</si>
  <si>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</si>
  <si>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</si>
  <si>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</si>
  <si>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</si>
  <si>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</si>
  <si>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</si>
  <si>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</si>
  <si>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</si>
  <si>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</si>
  <si>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</si>
  <si>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</si>
  <si>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</si>
  <si>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</si>
  <si>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</si>
  <si>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</si>
  <si>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</si>
  <si>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</si>
  <si>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</si>
  <si>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</si>
  <si>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</si>
  <si>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</si>
  <si>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</si>
  <si>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</si>
  <si>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</si>
  <si>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</si>
  <si>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</si>
  <si>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</si>
  <si>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</si>
  <si>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</si>
  <si>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</si>
  <si>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</si>
  <si>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</si>
  <si>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</si>
  <si>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</si>
  <si>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</si>
  <si>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</si>
  <si>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</si>
  <si>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</si>
  <si>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</si>
  <si>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</si>
  <si>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</si>
  <si>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</si>
  <si>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</si>
  <si>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</si>
  <si>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</si>
  <si>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</si>
  <si>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</si>
  <si>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</si>
  <si>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</si>
  <si>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</si>
  <si>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</si>
  <si>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</si>
  <si>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</si>
  <si>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</si>
  <si>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</si>
  <si>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</si>
  <si>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</si>
  <si>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</si>
  <si>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</si>
  <si>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</si>
  <si>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</si>
  <si>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</si>
  <si>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</si>
  <si>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</si>
  <si>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</si>
  <si>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</si>
  <si>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</si>
  <si>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</si>
  <si>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</si>
  <si>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</si>
  <si>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</si>
  <si>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</si>
  <si>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</si>
  <si>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</si>
  <si>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</si>
  <si>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</si>
  <si>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</si>
  <si>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</si>
  <si>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</si>
  <si>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</si>
  <si>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</si>
  <si>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</si>
  <si>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</si>
  <si>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</si>
  <si>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</si>
  <si>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</si>
  <si>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</si>
  <si>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</si>
  <si>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</si>
  <si>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</si>
  <si>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</si>
  <si>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</si>
  <si>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</si>
  <si>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</si>
  <si>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</si>
  <si>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</si>
  <si>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</si>
  <si>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</si>
  <si>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</si>
  <si>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</si>
  <si>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</si>
  <si>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</si>
  <si>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</si>
  <si>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</si>
  <si>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</si>
  <si>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</si>
  <si>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</si>
  <si>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</si>
  <si>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</si>
  <si>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</si>
  <si>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</si>
  <si>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</si>
  <si>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</si>
  <si>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</si>
  <si>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</si>
  <si>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</si>
  <si>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</si>
  <si>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</si>
  <si>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</si>
  <si>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</si>
  <si>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</si>
  <si>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</si>
  <si>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</si>
  <si>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</si>
  <si>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</si>
  <si>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</si>
  <si>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</si>
  <si>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</si>
  <si>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</si>
  <si>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</si>
  <si>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</si>
  <si>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</si>
  <si>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</si>
  <si>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</si>
  <si>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</si>
  <si>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</si>
  <si>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</si>
  <si>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</si>
  <si>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</si>
  <si>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</si>
  <si>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</si>
  <si>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</si>
  <si>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</si>
  <si>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</si>
  <si>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</si>
  <si>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</si>
  <si>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</si>
  <si>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</si>
  <si>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</si>
  <si>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</si>
  <si>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</si>
  <si>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</si>
  <si>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</si>
  <si>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</si>
  <si>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</si>
  <si>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</si>
  <si>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</si>
  <si>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</si>
  <si>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</si>
  <si>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</si>
  <si>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</si>
  <si>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</si>
  <si>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</si>
  <si>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</si>
  <si>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</si>
  <si>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</si>
  <si>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</si>
  <si>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</si>
  <si>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</si>
  <si>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</si>
  <si>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</si>
  <si>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</si>
  <si>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</si>
  <si>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</si>
  <si>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</si>
  <si>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</si>
  <si>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</si>
  <si>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</si>
  <si>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</si>
  <si>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</si>
  <si>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</si>
  <si>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</si>
  <si>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</si>
  <si>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</si>
  <si>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</si>
  <si>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</si>
  <si>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</si>
  <si>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</si>
  <si>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</si>
  <si>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</si>
  <si>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</si>
  <si>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</si>
  <si>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</si>
  <si>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</si>
  <si>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</si>
  <si>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</si>
  <si>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</si>
  <si>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</si>
  <si>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</si>
  <si>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</si>
  <si>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</si>
  <si>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</si>
  <si>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</si>
  <si>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</si>
  <si>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</si>
  <si>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</si>
  <si>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</si>
  <si>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</si>
  <si>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</si>
  <si>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</si>
  <si>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</si>
  <si>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</si>
  <si>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</si>
  <si>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</si>
  <si>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</si>
  <si>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</si>
  <si>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</si>
  <si>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</si>
  <si>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</si>
  <si>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</si>
  <si>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</si>
  <si>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</si>
  <si>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</si>
  <si>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</si>
  <si>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</si>
  <si>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</si>
  <si>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</si>
  <si>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</si>
  <si>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</si>
  <si>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</si>
  <si>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</si>
  <si>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</si>
  <si>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</si>
  <si>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</si>
  <si>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</si>
  <si>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</si>
  <si>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</si>
  <si>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</si>
  <si>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</si>
  <si>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</si>
  <si>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</si>
  <si>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</si>
  <si>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</si>
  <si>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</si>
  <si>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</si>
  <si>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</si>
  <si>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</si>
  <si>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</si>
  <si>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</si>
  <si>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</si>
  <si>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</si>
  <si>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</si>
  <si>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</si>
  <si>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</si>
  <si>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</si>
  <si>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</si>
  <si>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</si>
  <si>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</si>
  <si>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</si>
  <si>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</si>
  <si>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</si>
  <si>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</si>
  <si>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</si>
  <si>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</si>
  <si>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</si>
  <si>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</si>
  <si>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</si>
  <si>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</si>
  <si>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</si>
  <si>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</si>
  <si>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</si>
  <si>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</si>
  <si>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</si>
  <si>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</si>
  <si>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</si>
  <si>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</si>
  <si>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</si>
  <si>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</si>
  <si>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</si>
  <si>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</si>
  <si>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</si>
  <si>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</si>
  <si>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</si>
  <si>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</si>
  <si>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</si>
  <si>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</si>
  <si>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</si>
  <si>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</si>
  <si>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</si>
  <si>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</si>
  <si>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</si>
  <si>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</si>
  <si>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</si>
  <si>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</si>
  <si>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</si>
  <si>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</si>
  <si>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</si>
  <si>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</si>
  <si>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</si>
  <si>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</si>
  <si>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</si>
  <si>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</si>
  <si>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</si>
  <si>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</si>
  <si>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</si>
  <si>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</si>
  <si>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</si>
  <si>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</si>
  <si>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</si>
  <si>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</si>
  <si>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</si>
  <si>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</si>
  <si>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</si>
  <si>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</si>
  <si>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</si>
  <si>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</si>
  <si>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</si>
  <si>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</si>
  <si>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</si>
  <si>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</si>
  <si>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</si>
  <si>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</si>
  <si>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</si>
  <si>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</si>
  <si>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</si>
  <si>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</si>
  <si>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</si>
  <si>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</si>
  <si>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</si>
  <si>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</si>
  <si>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</si>
  <si>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</si>
  <si>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</si>
  <si>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</si>
  <si>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</si>
  <si>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</si>
  <si>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</si>
  <si>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</si>
  <si>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</si>
  <si>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</si>
  <si>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</si>
  <si>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</si>
  <si>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</si>
  <si>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</si>
  <si>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</si>
  <si>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</si>
  <si>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</si>
  <si>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</si>
  <si>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</si>
  <si>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</si>
  <si>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</si>
  <si>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</si>
  <si>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</si>
  <si>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</si>
  <si>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</si>
  <si>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</si>
  <si>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</si>
  <si>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</si>
  <si>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</si>
  <si>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</si>
  <si>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</si>
  <si>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</si>
  <si>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</si>
  <si>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</si>
  <si>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</si>
  <si>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</si>
  <si>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</si>
  <si>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</si>
  <si>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</si>
  <si>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</si>
  <si>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</si>
  <si>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</si>
  <si>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</si>
  <si>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</si>
  <si>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</si>
  <si>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</si>
  <si>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</si>
  <si>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</si>
  <si>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</si>
  <si>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</si>
  <si>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</si>
  <si>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</si>
  <si>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</si>
  <si>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</si>
  <si>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</si>
  <si>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</si>
  <si>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</si>
  <si>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</si>
  <si>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</si>
  <si>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</si>
  <si>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</si>
  <si>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</si>
  <si>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</si>
  <si>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</si>
  <si>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</si>
  <si>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</si>
  <si>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</si>
  <si>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</si>
  <si>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</si>
  <si>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</si>
  <si>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</si>
  <si>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</si>
  <si>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</si>
  <si>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</si>
  <si>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</si>
  <si>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</si>
  <si>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</si>
  <si>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</si>
  <si>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</si>
  <si>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</si>
  <si>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</si>
  <si>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</si>
  <si>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</si>
  <si>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</si>
  <si>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</si>
  <si>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</si>
  <si>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</si>
  <si>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</si>
  <si>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</si>
  <si>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</si>
  <si>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</si>
  <si>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</si>
  <si>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</si>
  <si>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</si>
  <si>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</si>
  <si>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</si>
  <si>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</si>
  <si>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</si>
  <si>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</si>
  <si>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</si>
  <si>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</si>
  <si>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</si>
  <si>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</si>
  <si>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</si>
  <si>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</si>
  <si>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</si>
  <si>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</si>
  <si>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</si>
  <si>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</si>
  <si>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</si>
  <si>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</si>
  <si>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</si>
  <si>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</si>
  <si>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</si>
  <si>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</si>
  <si>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</si>
  <si>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</si>
  <si>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</si>
  <si>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</si>
  <si>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Selección</t>
  </si>
  <si>
    <t>Código</t>
  </si>
  <si>
    <t>Puntos Totales</t>
  </si>
  <si>
    <t>Puntos Anteriores</t>
  </si>
  <si>
    <t>Diferencia de Puntos (+/-)</t>
  </si>
  <si>
    <t>Cambio de Puesto</t>
  </si>
  <si>
    <t>Confederación</t>
  </si>
  <si>
    <t>FRA</t>
  </si>
  <si>
    <t>▲ +2</t>
  </si>
  <si>
    <t>UEFA</t>
  </si>
  <si>
    <t>ESP</t>
  </si>
  <si>
    <t>▼ -1</t>
  </si>
  <si>
    <t>ARG</t>
  </si>
  <si>
    <t>CONMEBOL</t>
  </si>
  <si>
    <t>ENG</t>
  </si>
  <si>
    <t>=</t>
  </si>
  <si>
    <t>POR</t>
  </si>
  <si>
    <t>▲ +1</t>
  </si>
  <si>
    <t>BRA</t>
  </si>
  <si>
    <t>NED</t>
  </si>
  <si>
    <t>MAR</t>
  </si>
  <si>
    <t>CAF</t>
  </si>
  <si>
    <t>BEL</t>
  </si>
  <si>
    <t>GER</t>
  </si>
  <si>
    <t>CRO</t>
  </si>
  <si>
    <t>Italia</t>
  </si>
  <si>
    <t>ITA</t>
  </si>
  <si>
    <t>COL</t>
  </si>
  <si>
    <t>SEN</t>
  </si>
  <si>
    <t>▼ -2</t>
  </si>
  <si>
    <t>MEX</t>
  </si>
  <si>
    <t>CONCACAF</t>
  </si>
  <si>
    <t>EEUU</t>
  </si>
  <si>
    <t>USA</t>
  </si>
  <si>
    <t>URU</t>
  </si>
  <si>
    <t>JPN</t>
  </si>
  <si>
    <t>AFC</t>
  </si>
  <si>
    <t>SUI</t>
  </si>
  <si>
    <t>Dinamarca</t>
  </si>
  <si>
    <t>DEN</t>
  </si>
  <si>
    <t>RI de Irán</t>
  </si>
  <si>
    <t>IRN</t>
  </si>
  <si>
    <t>TUR</t>
  </si>
  <si>
    <t>▲ +3</t>
  </si>
  <si>
    <t>ECU</t>
  </si>
  <si>
    <t>AUT</t>
  </si>
  <si>
    <t>República de Corea</t>
  </si>
  <si>
    <t>KOR</t>
  </si>
  <si>
    <t>▼ -3</t>
  </si>
  <si>
    <t>Nigeria</t>
  </si>
  <si>
    <t>NGA</t>
  </si>
  <si>
    <t>AUS</t>
  </si>
  <si>
    <t>ALG</t>
  </si>
  <si>
    <t>EGY</t>
  </si>
  <si>
    <t>CAN</t>
  </si>
  <si>
    <t>NOR</t>
  </si>
  <si>
    <t>Ucrania</t>
  </si>
  <si>
    <t>UKR</t>
  </si>
  <si>
    <t>PAN</t>
  </si>
  <si>
    <t>CIV</t>
  </si>
  <si>
    <t>Polonia</t>
  </si>
  <si>
    <t>POL</t>
  </si>
  <si>
    <t>Rusia</t>
  </si>
  <si>
    <t>RUS</t>
  </si>
  <si>
    <t>Gales</t>
  </si>
  <si>
    <t>WAL</t>
  </si>
  <si>
    <t>SWE</t>
  </si>
  <si>
    <t>▲ +4</t>
  </si>
  <si>
    <t>Serbia</t>
  </si>
  <si>
    <t>SRB</t>
  </si>
  <si>
    <t>PAR</t>
  </si>
  <si>
    <t>CZE</t>
  </si>
  <si>
    <t>Hungría</t>
  </si>
  <si>
    <t>HUN</t>
  </si>
  <si>
    <t>SCO</t>
  </si>
  <si>
    <t>▼ -5</t>
  </si>
  <si>
    <t>TUN</t>
  </si>
  <si>
    <t>Camerún</t>
  </si>
  <si>
    <t>CMR</t>
  </si>
  <si>
    <t>RD del Congo</t>
  </si>
  <si>
    <t>COD</t>
  </si>
  <si>
    <t>Grecia</t>
  </si>
  <si>
    <t>GRE</t>
  </si>
  <si>
    <t>Eslovaquia</t>
  </si>
  <si>
    <t>SVK</t>
  </si>
  <si>
    <t>▼ -4</t>
  </si>
  <si>
    <t>Venezuela</t>
  </si>
  <si>
    <t>VEN</t>
  </si>
  <si>
    <t>UZB</t>
  </si>
  <si>
    <t>Costa Rica</t>
  </si>
  <si>
    <t>CRC</t>
  </si>
  <si>
    <t>Mali</t>
  </si>
  <si>
    <t>MLI</t>
  </si>
  <si>
    <t>Perú</t>
  </si>
  <si>
    <t>PER</t>
  </si>
  <si>
    <t>Chile</t>
  </si>
  <si>
    <t>CHI</t>
  </si>
  <si>
    <t>QAT</t>
  </si>
  <si>
    <t>Rumanía</t>
  </si>
  <si>
    <t>ROU</t>
  </si>
  <si>
    <t>▼ -7</t>
  </si>
  <si>
    <t>IRQ</t>
  </si>
  <si>
    <t>Eslovenia</t>
  </si>
  <si>
    <t>SVN</t>
  </si>
  <si>
    <t>República de Irlanda</t>
  </si>
  <si>
    <t>IRL</t>
  </si>
  <si>
    <t>RSA</t>
  </si>
  <si>
    <t>Arabia Saudí</t>
  </si>
  <si>
    <t>KSA</t>
  </si>
  <si>
    <t>Burkina Faso</t>
  </si>
  <si>
    <t>BFA</t>
  </si>
  <si>
    <t>JOR</t>
  </si>
  <si>
    <t>Albania</t>
  </si>
  <si>
    <t>ALB</t>
  </si>
  <si>
    <t>Bosnia y Herzegovina</t>
  </si>
  <si>
    <t>BIH</t>
  </si>
  <si>
    <t>▲ +6</t>
  </si>
  <si>
    <t>Honduras</t>
  </si>
  <si>
    <t>HON</t>
  </si>
  <si>
    <t>Macedonia del Norte</t>
  </si>
  <si>
    <t>MKD</t>
  </si>
  <si>
    <t>Emiratos Árabes Unidos</t>
  </si>
  <si>
    <t>UAE</t>
  </si>
  <si>
    <t>CPV</t>
  </si>
  <si>
    <t>Irlanda del Norte</t>
  </si>
  <si>
    <t>NIR</t>
  </si>
  <si>
    <t>Jamaica</t>
  </si>
  <si>
    <t>JAM</t>
  </si>
  <si>
    <t>Georgia</t>
  </si>
  <si>
    <t>GEO</t>
  </si>
  <si>
    <t>Finlandia</t>
  </si>
  <si>
    <t>FIN</t>
  </si>
  <si>
    <t>GHA</t>
  </si>
  <si>
    <t>Islandia</t>
  </si>
  <si>
    <t>ISL</t>
  </si>
  <si>
    <t>Bolivia</t>
  </si>
  <si>
    <t>BOL</t>
  </si>
  <si>
    <t>Israel</t>
  </si>
  <si>
    <t>ISR</t>
  </si>
  <si>
    <t>Kosovo</t>
  </si>
  <si>
    <t>KOS</t>
  </si>
  <si>
    <t>Omán</t>
  </si>
  <si>
    <t>OMA</t>
  </si>
  <si>
    <t>Guinea</t>
  </si>
  <si>
    <t>GUI</t>
  </si>
  <si>
    <t>Montenegro</t>
  </si>
  <si>
    <t>MNE</t>
  </si>
  <si>
    <t>Curazao</t>
  </si>
  <si>
    <t>CUW</t>
  </si>
  <si>
    <t>HAI</t>
  </si>
  <si>
    <t>Siria</t>
  </si>
  <si>
    <t>SYR</t>
  </si>
  <si>
    <t>NZL</t>
  </si>
  <si>
    <t>OFC</t>
  </si>
  <si>
    <t>Bulgaria</t>
  </si>
  <si>
    <t>BUL</t>
  </si>
  <si>
    <t>Gabón</t>
  </si>
  <si>
    <t>GAB</t>
  </si>
  <si>
    <t>Uganda</t>
  </si>
  <si>
    <t>UGA</t>
  </si>
  <si>
    <t>Angola</t>
  </si>
  <si>
    <t>ANG</t>
  </si>
  <si>
    <t>Benín</t>
  </si>
  <si>
    <t>BEN</t>
  </si>
  <si>
    <t>Baréin</t>
  </si>
  <si>
    <t>BHR</t>
  </si>
  <si>
    <t>Zambia</t>
  </si>
  <si>
    <t>ZAM</t>
  </si>
  <si>
    <t>Tailandia</t>
  </si>
  <si>
    <t>THA</t>
  </si>
  <si>
    <t>RP China</t>
  </si>
  <si>
    <t>CHN</t>
  </si>
  <si>
    <t>Palestina</t>
  </si>
  <si>
    <t>PLE</t>
  </si>
  <si>
    <t>Guatemala</t>
  </si>
  <si>
    <t>GUA</t>
  </si>
  <si>
    <t>Bielorrusia</t>
  </si>
  <si>
    <t>BLR</t>
  </si>
  <si>
    <t>Luxemburgo</t>
  </si>
  <si>
    <t>LUX</t>
  </si>
  <si>
    <t>Vietnam</t>
  </si>
  <si>
    <t>VIE</t>
  </si>
  <si>
    <t>▲ +9</t>
  </si>
  <si>
    <t>El Salvador</t>
  </si>
  <si>
    <t>SLV</t>
  </si>
  <si>
    <t>Mozambique</t>
  </si>
  <si>
    <t>MOZ</t>
  </si>
  <si>
    <t>Trinidad y Tobago</t>
  </si>
  <si>
    <t>TRI</t>
  </si>
  <si>
    <t>Tayikistán</t>
  </si>
  <si>
    <t>TJK</t>
  </si>
  <si>
    <t>Madagascar</t>
  </si>
  <si>
    <t>MAD</t>
  </si>
  <si>
    <t>Guinea Ecuatorial</t>
  </si>
  <si>
    <t>EQG</t>
  </si>
  <si>
    <t>Armenia</t>
  </si>
  <si>
    <t>ARM</t>
  </si>
  <si>
    <t>República Kirguisa</t>
  </si>
  <si>
    <t>KGZ</t>
  </si>
  <si>
    <t>Líbano</t>
  </si>
  <si>
    <t>LBN</t>
  </si>
  <si>
    <t>Comoras</t>
  </si>
  <si>
    <t>COM</t>
  </si>
  <si>
    <t>Kazajstán</t>
  </si>
  <si>
    <t>KAZ</t>
  </si>
  <si>
    <t>Kenia</t>
  </si>
  <si>
    <t>KEN</t>
  </si>
  <si>
    <t>Libia</t>
  </si>
  <si>
    <t>LBY</t>
  </si>
  <si>
    <t>Tanzania</t>
  </si>
  <si>
    <t>TAN</t>
  </si>
  <si>
    <t>Níger</t>
  </si>
  <si>
    <t>NIG</t>
  </si>
  <si>
    <t>Mauritania</t>
  </si>
  <si>
    <t>MTN</t>
  </si>
  <si>
    <t>Gambia</t>
  </si>
  <si>
    <t>GAM</t>
  </si>
  <si>
    <t>Sudán</t>
  </si>
  <si>
    <t>SDN</t>
  </si>
  <si>
    <t>RDP de Corea</t>
  </si>
  <si>
    <t>PRK</t>
  </si>
  <si>
    <t>Sierra Leona</t>
  </si>
  <si>
    <t>SLE</t>
  </si>
  <si>
    <t>Namibia</t>
  </si>
  <si>
    <t>NAM</t>
  </si>
  <si>
    <t>Togo</t>
  </si>
  <si>
    <t>TOG</t>
  </si>
  <si>
    <t>Indonesia</t>
  </si>
  <si>
    <t>IDN</t>
  </si>
  <si>
    <t>Islas Feroe</t>
  </si>
  <si>
    <t>FRO</t>
  </si>
  <si>
    <t>Azerbaiyán</t>
  </si>
  <si>
    <t>AZE</t>
  </si>
  <si>
    <t>Surinam</t>
  </si>
  <si>
    <t>SUR</t>
  </si>
  <si>
    <t>Chipre</t>
  </si>
  <si>
    <t>CYP</t>
  </si>
  <si>
    <t>Malaui</t>
  </si>
  <si>
    <t>MWI</t>
  </si>
  <si>
    <t>Ruanda</t>
  </si>
  <si>
    <t>RWA</t>
  </si>
  <si>
    <t>Estonia</t>
  </si>
  <si>
    <t>EST</t>
  </si>
  <si>
    <t>Zimbabue</t>
  </si>
  <si>
    <t>ZIM</t>
  </si>
  <si>
    <t>Nicaragua</t>
  </si>
  <si>
    <t>NCA</t>
  </si>
  <si>
    <t>Guinea-Bissáu</t>
  </si>
  <si>
    <t>GNB</t>
  </si>
  <si>
    <t>Congo</t>
  </si>
  <si>
    <t>CGO</t>
  </si>
  <si>
    <t>Kuwait</t>
  </si>
  <si>
    <t>KUW</t>
  </si>
  <si>
    <t>Filipinas</t>
  </si>
  <si>
    <t>PHI</t>
  </si>
  <si>
    <t>India</t>
  </si>
  <si>
    <t>IND</t>
  </si>
  <si>
    <t>▲ +5</t>
  </si>
  <si>
    <t>Letonia</t>
  </si>
  <si>
    <t>LVA</t>
  </si>
  <si>
    <t>Malasia</t>
  </si>
  <si>
    <t>MAS</t>
  </si>
  <si>
    <t>▼ -17</t>
  </si>
  <si>
    <t>República Centroafricana</t>
  </si>
  <si>
    <t>CTA</t>
  </si>
  <si>
    <t>Liberia</t>
  </si>
  <si>
    <t>LBR</t>
  </si>
  <si>
    <t>Turkmenistán</t>
  </si>
  <si>
    <t>TKM</t>
  </si>
  <si>
    <t>Burundi</t>
  </si>
  <si>
    <t>BDI</t>
  </si>
  <si>
    <t>República Dominicana</t>
  </si>
  <si>
    <t>DOM</t>
  </si>
  <si>
    <t>Etiopía</t>
  </si>
  <si>
    <t>ETH</t>
  </si>
  <si>
    <t>Lesoto</t>
  </si>
  <si>
    <t>LES</t>
  </si>
  <si>
    <t>Botsuana</t>
  </si>
  <si>
    <t>BOT</t>
  </si>
  <si>
    <t>Singapur</t>
  </si>
  <si>
    <t>SGP</t>
  </si>
  <si>
    <t>Lituania</t>
  </si>
  <si>
    <t>LTU</t>
  </si>
  <si>
    <t>Yemen</t>
  </si>
  <si>
    <t>YEM</t>
  </si>
  <si>
    <t>Guyana</t>
  </si>
  <si>
    <t>GUY</t>
  </si>
  <si>
    <t>Nueva Caledonia</t>
  </si>
  <si>
    <t>NCL</t>
  </si>
  <si>
    <t>San Cristóbal y Nieves</t>
  </si>
  <si>
    <t>SKN</t>
  </si>
  <si>
    <t>Islas Salomón</t>
  </si>
  <si>
    <t>SOL</t>
  </si>
  <si>
    <t>Fiyi</t>
  </si>
  <si>
    <t>FIJ</t>
  </si>
  <si>
    <t>Hong Kong, China</t>
  </si>
  <si>
    <t>HKG</t>
  </si>
  <si>
    <t>Puerto Rico</t>
  </si>
  <si>
    <t>PUR</t>
  </si>
  <si>
    <t>Tahití</t>
  </si>
  <si>
    <t>TAH</t>
  </si>
  <si>
    <t>Myanmar</t>
  </si>
  <si>
    <t>MYA</t>
  </si>
  <si>
    <t>Moldavia</t>
  </si>
  <si>
    <t>MDA</t>
  </si>
  <si>
    <t>Vanuatu</t>
  </si>
  <si>
    <t>VAN</t>
  </si>
  <si>
    <t>Malta</t>
  </si>
  <si>
    <t>MLT</t>
  </si>
  <si>
    <t>Antigua y Barbuda</t>
  </si>
  <si>
    <t>ATG</t>
  </si>
  <si>
    <t>Granada</t>
  </si>
  <si>
    <t>GRN</t>
  </si>
  <si>
    <t>Cuba</t>
  </si>
  <si>
    <t>CUB</t>
  </si>
  <si>
    <t>Esuatini</t>
  </si>
  <si>
    <t>SWZ</t>
  </si>
  <si>
    <t>▼ -6</t>
  </si>
  <si>
    <t>Bermudas</t>
  </si>
  <si>
    <t>BER</t>
  </si>
  <si>
    <t>Santa Lucía</t>
  </si>
  <si>
    <t>LCA</t>
  </si>
  <si>
    <t>Papúa Nueva Guinea</t>
  </si>
  <si>
    <t>PNG</t>
  </si>
  <si>
    <t>Afganistán</t>
  </si>
  <si>
    <t>AFG</t>
  </si>
  <si>
    <t>Sudán del Sur</t>
  </si>
  <si>
    <t>SSD</t>
  </si>
  <si>
    <t>San Vicente y las Granadinas</t>
  </si>
  <si>
    <t>VIN</t>
  </si>
  <si>
    <t>Maldivas</t>
  </si>
  <si>
    <t>MDV</t>
  </si>
  <si>
    <t>Andorra</t>
  </si>
  <si>
    <t>AND</t>
  </si>
  <si>
    <t>Chinese Taipei</t>
  </si>
  <si>
    <t>TPE</t>
  </si>
  <si>
    <t>Montserrat</t>
  </si>
  <si>
    <t>MSR</t>
  </si>
  <si>
    <t>Nepal</t>
  </si>
  <si>
    <t>NEP</t>
  </si>
  <si>
    <t>Camboya</t>
  </si>
  <si>
    <t>CAM</t>
  </si>
  <si>
    <t>Mauricio</t>
  </si>
  <si>
    <t>MRI</t>
  </si>
  <si>
    <t>Barbados</t>
  </si>
  <si>
    <t>BRB</t>
  </si>
  <si>
    <t>Belice</t>
  </si>
  <si>
    <t>BLZ</t>
  </si>
  <si>
    <t>Bangladesh</t>
  </si>
  <si>
    <t>BAN</t>
  </si>
  <si>
    <t>Dominica</t>
  </si>
  <si>
    <t>DMA</t>
  </si>
  <si>
    <t>Chad</t>
  </si>
  <si>
    <t>CHA</t>
  </si>
  <si>
    <t>Eritrea</t>
  </si>
  <si>
    <t>ERI</t>
  </si>
  <si>
    <t>▼ -184</t>
  </si>
  <si>
    <t>Laos</t>
  </si>
  <si>
    <t>LAO</t>
  </si>
  <si>
    <t>Bután</t>
  </si>
  <si>
    <t>BHU</t>
  </si>
  <si>
    <t>Mongolia</t>
  </si>
  <si>
    <t>MNG</t>
  </si>
  <si>
    <t>Islas Cook</t>
  </si>
  <si>
    <t>COK</t>
  </si>
  <si>
    <t>Aruba</t>
  </si>
  <si>
    <t>ARU</t>
  </si>
  <si>
    <t>Samoa</t>
  </si>
  <si>
    <t>SAM</t>
  </si>
  <si>
    <t>Sri Lanka</t>
  </si>
  <si>
    <t>SRI</t>
  </si>
  <si>
    <t>Samoa Estadounidense</t>
  </si>
  <si>
    <t>ASA</t>
  </si>
  <si>
    <t>▼ -8</t>
  </si>
  <si>
    <t>Brunéi Darussalam</t>
  </si>
  <si>
    <t>BRU</t>
  </si>
  <si>
    <t>Macao</t>
  </si>
  <si>
    <t>MAC</t>
  </si>
  <si>
    <t>Islas Caimán</t>
  </si>
  <si>
    <t>CAY</t>
  </si>
  <si>
    <t>Santo Tomé y Príncipe</t>
  </si>
  <si>
    <t>STP</t>
  </si>
  <si>
    <t>Yibuti</t>
  </si>
  <si>
    <t>DJI</t>
  </si>
  <si>
    <t>Somalia</t>
  </si>
  <si>
    <t>SOM</t>
  </si>
  <si>
    <t>Tonga</t>
  </si>
  <si>
    <t>TGA</t>
  </si>
  <si>
    <t>Timor Oriental</t>
  </si>
  <si>
    <t>TLS</t>
  </si>
  <si>
    <t>Guam</t>
  </si>
  <si>
    <t>GUM</t>
  </si>
  <si>
    <t>Pakistán</t>
  </si>
  <si>
    <t>PAK</t>
  </si>
  <si>
    <t>Gibraltar</t>
  </si>
  <si>
    <t>GIB</t>
  </si>
  <si>
    <t>Seychelles</t>
  </si>
  <si>
    <t>SEY</t>
  </si>
  <si>
    <t>Turcas y Caicos</t>
  </si>
  <si>
    <t>TCA</t>
  </si>
  <si>
    <t>Liechtenstein</t>
  </si>
  <si>
    <t>LIE</t>
  </si>
  <si>
    <t>Bahamas</t>
  </si>
  <si>
    <t>BAH</t>
  </si>
  <si>
    <t>Islas Vírgenes Británicas</t>
  </si>
  <si>
    <t>VGB</t>
  </si>
  <si>
    <t>Islas Vírgenes Estadounidenses</t>
  </si>
  <si>
    <t>VIR</t>
  </si>
  <si>
    <t>Anguila</t>
  </si>
  <si>
    <t>AIA</t>
  </si>
  <si>
    <t>San Marino</t>
  </si>
  <si>
    <t>SMR</t>
  </si>
  <si>
    <t>Los cuadros grises corresponden a los marcadores por serie de penalties y sólo se llenan en caso de empate</t>
  </si>
  <si>
    <t>Los marcadores se llenan en los cuadros amarillos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</si>
</sst>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8"/>
      <color rgb="FFFFFFFF"/>
      <name val="Segoe UI"/>
      <family val="2"/>
    </font>
    <font>
      <sz val="11"/>
      <name val="Segoe UI"/>
      <family val="2"/>
    </font>
    <font>
      <b/>
      <sz val="11"/>
      <color rgb="FFFFFFFF"/>
      <name val="Segoe UI"/>
      <family val="2"/>
    </font>
    <font>
      <b/>
      <sz val="13"/>
      <color rgb="FF0F4C43"/>
      <name val="Segoe UI"/>
      <family val="2"/>
    </font>
    <font>
      <b/>
      <sz val="13"/>
      <color rgb="FF0F4C43"/>
      <name val="Segoe UI"/>
      <family val="2"/>
    </font>
    <font>
      <b/>
      <sz val="11"/>
      <name val="Segoe UI"/>
      <family val="2"/>
    </font>
    <font>
      <sz val="12"/>
      <color rgb="FF31333F"/>
      <name val="Arial"/>
      <family val="2"/>
    </font>
    <font>
      <i/>
      <sz val="12"/>
      <color rgb="FF31333F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31333F"/>
      <name val="Arial"/>
      <family val="2"/>
    </font>
    <font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1"/>
      <color rgb="FFFFFFFF"/>
      <name val="Segoe UI"/>
      <family val="2"/>
    </font>
    <font>
      <b/>
      <sz val="11"/>
      <color rgb="FF0F4C43"/>
      <name val="Segoe UI"/>
      <family val="2"/>
    </font>
    <font>
      <sz val="11"/>
      <color rgb="FF333333"/>
      <name val="Segoe U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  <fill>
      <patternFill patternType="solid">
        <fgColor rgb="FFEAEAEA"/>
        <bgColor indexed="64"/>
      </patternFill>
    </fill>
  </fills>
  <borders count="1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"/>
    <xf numFmtId="0" fontId="9" fillId="0" borderId="2"/>
  </cellStyleXfs>
  <cellXfs count="56">
    <xf numFmtId="0" fontId="0" fillId="0" borderId="0" xfId="0" applyBorder="1"/>
    <xf numFmtId="0" fontId="2" fillId="0" borderId="0" xfId="0" applyFont="1" applyBorder="1"/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2" xfId="0"/>
    <xf numFmtId="0" fontId="6" fillId="0" borderId="3" xfId="0" applyFont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9" fillId="0" borderId="0" xfId="1" applyBorder="1"/>
    <xf numFmtId="0" fontId="2" fillId="0" borderId="0" xfId="0" applyFont="1" applyBorder="1" applyAlignment="1">
      <alignment wrapText="1"/>
    </xf>
    <xf numFmtId="0" fontId="11" fillId="0" borderId="0" xfId="0" applyFont="1" applyBorder="1" applyAlignment="1">
      <alignment horizontal="left" vertical="center"/>
    </xf>
    <xf numFmtId="0" fontId="9" fillId="0" borderId="0" xfId="1" applyBorder="1" applyAlignment="1">
      <alignment horizontal="left" vertical="center" wrapText="1"/>
    </xf>
    <xf numFmtId="0" fontId="12" fillId="0" borderId="0" xfId="0" applyFont="1" applyBorder="1" applyAlignment="1">
      <alignment horizontal="left" vertical="center" wrapText="1"/>
    </xf>
    <xf numFmtId="0" fontId="10" fillId="0" borderId="0" xfId="0" applyFont="1" applyBorder="1"/>
    <xf numFmtId="0" fontId="14" fillId="6" borderId="4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/>
    </xf>
    <xf numFmtId="0" fontId="15" fillId="7" borderId="4" xfId="0" applyFont="1" applyFill="1" applyBorder="1" applyAlignment="1">
      <alignment horizontal="center" vertical="center"/>
    </xf>
    <xf numFmtId="0" fontId="15" fillId="8" borderId="4" xfId="0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horizontal="left" vertical="center"/>
    </xf>
    <xf numFmtId="0" fontId="15" fillId="9" borderId="4" xfId="0" applyFont="1" applyFill="1" applyBorder="1" applyAlignment="1">
      <alignment horizontal="center" vertical="center"/>
    </xf>
    <xf numFmtId="0" fontId="2" fillId="11" borderId="2" xfId="0" applyFont="1" applyFill="1"/>
    <xf numFmtId="0" fontId="0" fillId="12" borderId="0" xfId="0" applyFill="1" applyBorder="1"/>
    <xf numFmtId="0" fontId="4" fillId="4" borderId="2" xfId="0" applyFont="1" applyFill="1"/>
    <xf numFmtId="0" fontId="17" fillId="10" borderId="6" xfId="0" applyFont="1" applyFill="1" applyBorder="1" applyAlignment="1">
      <alignment horizontal="center" vertical="center"/>
    </xf>
    <xf numFmtId="0" fontId="0" fillId="5" borderId="5" xfId="0" applyFill="1" applyBorder="1"/>
    <xf numFmtId="0" fontId="17" fillId="10" borderId="7" xfId="0" applyFont="1" applyFill="1" applyBorder="1" applyAlignment="1">
      <alignment horizontal="center" vertical="center"/>
    </xf>
    <xf numFmtId="0" fontId="17" fillId="10" borderId="5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Border="1" applyAlignment="1">
      <alignment horizontal="center"/>
    </xf>
    <xf numFmtId="0" fontId="0" fillId="12" borderId="0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2" xfId="0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7" xfId="0" applyFont="1" applyFill="1" applyBorder="1" applyAlignment="1">
      <alignment horizontal="center" vertical="center"/>
    </xf>
    <xf numFmtId="0" fontId="0" fillId="0" borderId="2" xfId="0"/>
    <xf numFmtId="0" fontId="0" fillId="0" borderId="0" xfId="0" applyBorder="1"/>
    <xf numFmtId="0" fontId="1" fillId="2" borderId="2" xfId="0" applyFont="1" applyFill="1" applyAlignment="1">
      <alignment horizontal="center" vertical="center"/>
    </xf>
    <xf numFmtId="0" fontId="13" fillId="6" borderId="2" xfId="0" applyFont="1" applyFill="1" applyAlignment="1">
      <alignment horizontal="center" vertical="center"/>
    </xf>
    <xf numFmtId="0" fontId="5" fillId="4" borderId="2" xfId="0" applyFont="1" applyFill="1" applyAlignment="1">
      <alignment horizontal="center" vertical="center"/>
    </xf>
    <xf numFmtId="0" fontId="3" fillId="2" borderId="2" xfId="0" applyFont="1" applyFill="1" applyAlignment="1">
      <alignment horizontal="center" vertical="center"/>
    </xf>
    <xf numFmtId="0" fontId="4" fillId="4" borderId="2" xfId="0" applyFont="1" applyFill="1"/>
    <xf numFmtId="0" fontId="10" fillId="0" borderId="2" xfId="0" applyFont="1"/>
  </cellXfs>
  <cellStyles count="2">
    <cellStyle name="Hyperlink" xfId="1" builtinId="8"/>
    <cellStyle name="Normal" xfId="0" builtinId="0"/>
  </cellStyles>
  <dxfs count="12"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lvador.velasco@gmail.com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/><Relationship Id="rId1"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0"/>
  <sheetViews>
    <sheetView tabSelected="1" workbookViewId="0">
      <selection activeCell="A3" sqref="A3"/>
    </sheetView>
  </sheetViews>
  <sheetFormatPr defaultColWidth="9.140625" defaultRowHeight="15" x14ac:dyDescent="0.25"/>
  <cols>
    <col min="1" max="1" width="148" customWidth="1"/>
    <col min="7" max="7" width="75.42578125" customWidth="1"/>
  </cols>
  <sheetData>
    <row r="1" spans="1:1" ht="33.75" customHeight="1" x14ac:dyDescent="0.25">
      <c r="A1" s="9" t="s">
        <v>153</v>
      </c>
    </row>
    <row r="3" spans="1:1" ht="16.5" customHeight="1" x14ac:dyDescent="0.3">
      <c r="A3" s="1" t="s">
        <v>154</v>
      </c>
    </row>
    <row r="4" spans="1:1" ht="16.5" customHeight="1" x14ac:dyDescent="0.3">
      <c r="A4" s="1"/>
    </row>
    <row r="5" spans="1:1" ht="16.5" customHeight="1" x14ac:dyDescent="0.3">
      <c r="A5" s="1" t="s">
        <v>155</v>
      </c>
    </row>
    <row r="6" spans="1:1" ht="16.5" customHeight="1" x14ac:dyDescent="0.3">
      <c r="A6" s="1"/>
    </row>
    <row r="7" spans="1:1" ht="16.5" customHeight="1" x14ac:dyDescent="0.3">
      <c r="A7" s="1" t="s">
        <v>156</v>
      </c>
    </row>
    <row r="8" spans="1:1" ht="16.5" customHeight="1" x14ac:dyDescent="0.3">
      <c r="A8" s="1"/>
    </row>
    <row r="9" spans="1:1" ht="33" customHeight="1" x14ac:dyDescent="0.3">
      <c r="A9" s="13" t="s">
        <v>157</v>
      </c>
    </row>
    <row r="10" spans="1:1" ht="16.5" customHeight="1" x14ac:dyDescent="0.3">
      <c r="A10" s="1"/>
    </row>
    <row r="11" spans="1:1" ht="26.25" customHeight="1" x14ac:dyDescent="0.25">
      <c r="A11" s="9" t="s">
        <v>158</v>
      </c>
    </row>
    <row r="13" spans="1:1" ht="16.5" customHeight="1" x14ac:dyDescent="0.3">
      <c r="A13" s="1" t="s">
        <v>159</v>
      </c>
    </row>
    <row r="14" spans="1:1" ht="16.5" customHeight="1" x14ac:dyDescent="0.3">
      <c r="A14" s="1" t="s">
        <v>160</v>
      </c>
    </row>
    <row r="15" spans="1:1" ht="16.5" customHeight="1" x14ac:dyDescent="0.3">
      <c r="A15" s="1" t="s">
        <v>161</v>
      </c>
    </row>
    <row r="16" spans="1:1" s="7" customFormat="1" ht="16.5" customHeight="1" x14ac:dyDescent="0.3">
      <c r="A16" s="25" t="s">
        <v>162</v>
      </c>
    </row>
    <row r="17" spans="1:1" ht="16.5" customHeight="1" x14ac:dyDescent="0.25"/>
    <row r="18" spans="1:1" ht="26.25" customHeight="1" x14ac:dyDescent="0.25">
      <c r="A18" s="9" t="s">
        <v>163</v>
      </c>
    </row>
    <row r="19" spans="1:1" x14ac:dyDescent="0.25">
      <c r="A19" s="6"/>
    </row>
    <row r="20" spans="1:1" ht="15.75" customHeight="1" x14ac:dyDescent="0.25">
      <c r="A20" s="14" t="s">
        <v>164</v>
      </c>
    </row>
    <row r="21" spans="1:1" x14ac:dyDescent="0.25">
      <c r="A21" s="6"/>
    </row>
    <row r="22" spans="1:1" x14ac:dyDescent="0.25">
      <c r="A22" s="10" t="s">
        <v>165</v>
      </c>
    </row>
    <row r="23" spans="1:1" x14ac:dyDescent="0.25">
      <c r="A23" s="10" t="s">
        <v>166</v>
      </c>
    </row>
    <row r="25" spans="1:1" ht="15.75" customHeight="1" x14ac:dyDescent="0.25">
      <c r="A25" s="14" t="s">
        <v>167</v>
      </c>
    </row>
    <row r="26" spans="1:1" x14ac:dyDescent="0.25">
      <c r="A26" s="6"/>
    </row>
    <row r="27" spans="1:1" x14ac:dyDescent="0.25">
      <c r="A27" s="10" t="s">
        <v>168</v>
      </c>
    </row>
    <row r="28" spans="1:1" x14ac:dyDescent="0.25">
      <c r="A28" s="10" t="s">
        <v>169</v>
      </c>
    </row>
    <row r="29" spans="1:1" x14ac:dyDescent="0.25">
      <c r="A29" s="10" t="s">
        <v>170</v>
      </c>
    </row>
    <row r="30" spans="1:1" x14ac:dyDescent="0.25">
      <c r="A30" s="11" t="s">
        <v>171</v>
      </c>
    </row>
    <row r="31" spans="1:1" x14ac:dyDescent="0.25">
      <c r="A31" s="11" t="s">
        <v>172</v>
      </c>
    </row>
    <row r="32" spans="1:1" x14ac:dyDescent="0.25">
      <c r="A32" s="11" t="s">
        <v>173</v>
      </c>
    </row>
    <row r="33" spans="1:1" x14ac:dyDescent="0.25">
      <c r="A33" s="11" t="s">
        <v>174</v>
      </c>
    </row>
    <row r="34" spans="1:1" x14ac:dyDescent="0.25">
      <c r="A34" s="11" t="s">
        <v>175</v>
      </c>
    </row>
    <row r="36" spans="1:1" ht="15.75" customHeight="1" x14ac:dyDescent="0.25">
      <c r="A36" s="14" t="s">
        <v>176</v>
      </c>
    </row>
    <row r="37" spans="1:1" x14ac:dyDescent="0.25">
      <c r="A37" s="6"/>
    </row>
    <row r="38" spans="1:1" x14ac:dyDescent="0.25">
      <c r="A38" s="10" t="s">
        <v>177</v>
      </c>
    </row>
    <row r="39" spans="1:1" x14ac:dyDescent="0.25">
      <c r="A39" s="10" t="s">
        <v>178</v>
      </c>
    </row>
    <row r="40" spans="1:1" x14ac:dyDescent="0.25">
      <c r="A40" s="10" t="s">
        <v>179</v>
      </c>
    </row>
    <row r="48" spans="1:1" x14ac:dyDescent="0.25">
      <c r="A48" t="s">
        <v>180</v>
      </c>
    </row>
    <row r="49" spans="1:1" x14ac:dyDescent="0.25">
      <c r="A49" t="s">
        <v>181</v>
      </c>
    </row>
    <row r="50" spans="1:1" x14ac:dyDescent="0.25">
      <c r="A50" s="12" t="s">
        <v>182</v>
      </c>
    </row>
  </sheetData>
  <hyperlinks>
    <hyperlink ref="A50" r:id="rId1" xr:uid="{00000000-0004-0000-0000-000000000000}"/>
  </hyperlink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9"/>
  <sheetViews>
    <sheetView workbookViewId="0">
      <selection activeCell="D6" sqref="D6"/>
    </sheetView>
  </sheetViews>
  <sheetFormatPr defaultColWidth="9.140625" defaultRowHeight="15" x14ac:dyDescent="0.25"/>
  <cols>
    <col min="1" max="1" width="8" customWidth="1"/>
    <col min="3" max="3" width="16" customWidth="1"/>
    <col min="4" max="4" width="9.140625" style="40"/>
    <col min="6" max="6" width="9.140625" style="40"/>
    <col min="7" max="7" width="16" customWidth="1"/>
    <col min="9" max="9" width="35" customWidth="1"/>
    <col min="10" max="10" width="3" customWidth="1"/>
    <col min="11" max="11" width="16" style="40" customWidth="1"/>
    <col min="12" max="12" width="14.5703125" bestFit="1" customWidth="1"/>
    <col min="13" max="20" width="9.140625" style="40"/>
    <col min="21" max="21" width="18.7109375" bestFit="1" customWidth="1"/>
  </cols>
  <sheetData>
    <row r="1" spans="1:21" ht="15" customHeight="1" x14ac:dyDescent="0.25">
      <c r="A1" s="50" t="s">
        <v>0</v>
      </c>
      <c r="B1" s="49"/>
      <c r="C1" s="49"/>
      <c r="D1" s="49"/>
      <c r="E1" s="49"/>
      <c r="F1" s="49"/>
      <c r="G1" s="49"/>
      <c r="H1" s="49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16.5" customHeight="1" x14ac:dyDescent="0.25">
      <c r="A2" s="49"/>
      <c r="B2" s="49"/>
      <c r="C2" s="49"/>
      <c r="D2" s="49"/>
      <c r="E2" s="49"/>
      <c r="F2" s="49"/>
      <c r="G2" s="49"/>
      <c r="H2" s="49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16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4</v>
      </c>
      <c r="G4" s="2" t="s">
        <v>6</v>
      </c>
      <c r="H4" s="2" t="s">
        <v>7</v>
      </c>
      <c r="I4" s="2" t="s">
        <v>8</v>
      </c>
      <c r="K4" s="3" t="s">
        <v>2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  <c r="S4" s="3" t="s">
        <v>16</v>
      </c>
      <c r="T4" s="3" t="s">
        <v>17</v>
      </c>
      <c r="U4" s="3" t="s">
        <v>18</v>
      </c>
    </row>
    <row r="5" spans="1:21" ht="18.75" customHeight="1" x14ac:dyDescent="0.35">
      <c r="A5" s="27" t="s">
        <v>19</v>
      </c>
      <c r="B5" s="26"/>
      <c r="C5" s="26"/>
      <c r="D5" s="41"/>
      <c r="E5" s="26"/>
      <c r="F5" s="41"/>
      <c r="G5" s="26"/>
      <c r="H5" s="26"/>
      <c r="I5" s="26"/>
      <c r="J5" s="48"/>
      <c r="K5" s="49"/>
      <c r="L5" s="49"/>
      <c r="M5" s="49"/>
      <c r="N5" s="49"/>
      <c r="O5" s="49"/>
      <c r="P5" s="49"/>
      <c r="Q5" s="49"/>
      <c r="R5" s="49"/>
      <c r="S5" s="49"/>
      <c r="T5" s="49"/>
    </row>
    <row r="6" spans="1:21" x14ac:dyDescent="0.25">
      <c r="C6" s="4" t="s">
        <v>20</v>
      </c>
      <c r="D6" s="42"/>
      <c r="E6" s="5" t="s">
        <v>21</v>
      </c>
      <c r="F6" s="42"/>
      <c r="G6" s="6" t="s">
        <v>22</v>
      </c>
      <c r="H6" t="str">
        <f t="shared" ref="H6:H11" si="0">IF(AND(ISNUMBER(D6),ISNUMBER(F6)),"Ok","")</f>
        <v/>
      </c>
      <c r="I6" t="s">
        <v>23</v>
      </c>
      <c r="K6" s="40" t="s">
        <v>24</v>
      </c>
      <c r="L6" t="s">
        <v>20</v>
      </c>
      <c r="M6" s="40">
        <f>IF(ISNUMBER(D6),1,0)+IF(ISNUMBER(D8),1,0)+IF(ISNUMBER(F10),1,0)</f>
        <v>0</v>
      </c>
      <c r="N6" s="40">
        <f>IF(AND(ISNUMBER(D6),ISNUMBER(F6),D6&gt;F6),1,0)+IF(AND(ISNUMBER(D8),ISNUMBER(F8),D8&gt;F8),1,0)+IF(AND(ISNUMBER(F10),ISNUMBER(D10),F10&gt;D10),1,0)</f>
        <v>0</v>
      </c>
      <c r="O6" s="40">
        <f>IF(AND(ISNUMBER(D6),ISNUMBER(F6),D6=F6),1,0)+IF(AND(ISNUMBER(D8),ISNUMBER(F8),D8=F8),1,0)+IF(AND(ISNUMBER(F10),ISNUMBER(D10),F10=D10),1,0)</f>
        <v>0</v>
      </c>
      <c r="P6" s="40">
        <f>IF(AND(ISNUMBER(D6),ISNUMBER(F6),D6&lt;F6),1,0)+IF(AND(ISNUMBER(D8),ISNUMBER(F8),D8&lt;F8),1,0)+IF(AND(ISNUMBER(F10),ISNUMBER(D10),F10&lt;D10),1,0)</f>
        <v>0</v>
      </c>
      <c r="Q6" s="40">
        <f>IF(ISNUMBER(D6),D6,0)+IF(ISNUMBER(D8),D8,0)+IF(ISNUMBER(F10),F10,0)</f>
        <v>0</v>
      </c>
      <c r="R6" s="40">
        <f>IF(ISNUMBER(F6),F6,0)+IF(ISNUMBER(F8),F8,0)+IF(ISNUMBER(D10),D10,0)</f>
        <v>0</v>
      </c>
      <c r="S6" s="40">
        <f>Q6-R6</f>
        <v>0</v>
      </c>
      <c r="T6" s="40">
        <f>N6*3+O6</f>
        <v>0</v>
      </c>
      <c r="U6">
        <f>T6*100000000 + (S6+100)*100000 + Q6*1000 + IFERROR(VLOOKUP(L6, RankingFIFA!$A$1:$B$48, 2, FALSE), 0) + (6/1000)</f>
        <v>10001000.005999999</v>
      </c>
    </row>
    <row r="7" spans="1:21" x14ac:dyDescent="0.25">
      <c r="C7" s="4" t="s">
        <v>25</v>
      </c>
      <c r="D7" s="42"/>
      <c r="E7" s="5" t="s">
        <v>21</v>
      </c>
      <c r="F7" s="42"/>
      <c r="G7" s="6" t="s">
        <v>26</v>
      </c>
      <c r="H7" t="str">
        <f t="shared" si="0"/>
        <v/>
      </c>
      <c r="I7" t="s">
        <v>27</v>
      </c>
      <c r="K7" s="40" t="s">
        <v>24</v>
      </c>
      <c r="L7" t="s">
        <v>22</v>
      </c>
      <c r="M7" s="40">
        <f>IF(ISNUMBER(F6),1,0)+IF(ISNUMBER(D9),1,0)+IF(ISNUMBER(D11),1,0)</f>
        <v>0</v>
      </c>
      <c r="N7" s="40">
        <f>IF(AND(ISNUMBER(F6),ISNUMBER(D6),F6&gt;D6),1,0)+IF(AND(ISNUMBER(D9),ISNUMBER(F9),D9&gt;F9),1,0)+IF(AND(ISNUMBER(D11),ISNUMBER(F11),D11&gt;F11),1,0)</f>
        <v>0</v>
      </c>
      <c r="O7" s="40">
        <f>IF(AND(ISNUMBER(F6),ISNUMBER(D6),F6=D6),1,0)+IF(AND(ISNUMBER(D9),ISNUMBER(F9),D9=F9),1,0)+IF(AND(ISNUMBER(D11),ISNUMBER(F11),D11=F11),1,0)</f>
        <v>0</v>
      </c>
      <c r="P7" s="40">
        <f>IF(AND(ISNUMBER(F6),ISNUMBER(D6),F6&lt;D6),1,0)+IF(AND(ISNUMBER(D9),ISNUMBER(F9),D9&lt;F9),1,0)+IF(AND(ISNUMBER(D11),ISNUMBER(F11),D11&lt;F11),1,0)</f>
        <v>0</v>
      </c>
      <c r="Q7" s="40">
        <f>IF(ISNUMBER(F6),F6,0)+IF(ISNUMBER(D9),D9,0)+IF(ISNUMBER(D11),D11,0)</f>
        <v>0</v>
      </c>
      <c r="R7" s="40">
        <f>IF(ISNUMBER(D6),D6,0)+IF(ISNUMBER(F9),F9,0)+IF(ISNUMBER(F11),F11,0)</f>
        <v>0</v>
      </c>
      <c r="S7" s="40">
        <f>Q7-R7</f>
        <v>0</v>
      </c>
      <c r="T7" s="40">
        <f>N7*3+O7</f>
        <v>0</v>
      </c>
      <c r="U7">
        <f>T7*100000000 + (S7+100)*100000 + Q7*1000 + IFERROR(VLOOKUP(L7, RankingFIFA!$A$1:$B$48, 2, FALSE), 0) + (7/1000)</f>
        <v>10001000.006999999</v>
      </c>
    </row>
    <row r="8" spans="1:21" x14ac:dyDescent="0.25">
      <c r="C8" s="4" t="s">
        <v>20</v>
      </c>
      <c r="D8" s="42"/>
      <c r="E8" s="5" t="s">
        <v>21</v>
      </c>
      <c r="F8" s="42"/>
      <c r="G8" s="6" t="s">
        <v>25</v>
      </c>
      <c r="H8" t="str">
        <f t="shared" si="0"/>
        <v/>
      </c>
      <c r="I8" t="s">
        <v>28</v>
      </c>
      <c r="K8" s="40" t="s">
        <v>24</v>
      </c>
      <c r="L8" t="s">
        <v>25</v>
      </c>
      <c r="M8" s="40">
        <f>IF(ISNUMBER(D7),1,0)+IF(ISNUMBER(F8),1,0)+IF(ISNUMBER(F11),1,0)</f>
        <v>0</v>
      </c>
      <c r="N8" s="40">
        <f>IF(AND(ISNUMBER(D7),ISNUMBER(F7),D7&gt;F7),1,0)+IF(AND(ISNUMBER(F8),ISNUMBER(D8),F8&gt;D8),1,0)+IF(AND(ISNUMBER(F11),ISNUMBER(D11),F11&gt;D11),1,0)</f>
        <v>0</v>
      </c>
      <c r="O8" s="40">
        <f>IF(AND(ISNUMBER(D7),ISNUMBER(F7),D7=F7),1,0)+IF(AND(ISNUMBER(F8),ISNUMBER(D8),F8=D8),1,0)+IF(AND(ISNUMBER(F11),ISNUMBER(D11),F11=D11),1,0)</f>
        <v>0</v>
      </c>
      <c r="P8" s="40">
        <f>IF(AND(ISNUMBER(D7),ISNUMBER(F7),D7&lt;F7),1,0)+IF(AND(ISNUMBER(F8),ISNUMBER(D8),F8&lt;D8),1,0)+IF(AND(ISNUMBER(F11),ISNUMBER(D11),F11&lt;D11),1,0)</f>
        <v>0</v>
      </c>
      <c r="Q8" s="40">
        <f>IF(ISNUMBER(D7),D7,0)+IF(ISNUMBER(F8),F8,0)+IF(ISNUMBER(F11),F11,0)</f>
        <v>0</v>
      </c>
      <c r="R8" s="40">
        <f>IF(ISNUMBER(F7),F7,0)+IF(ISNUMBER(D8),D8,0)+IF(ISNUMBER(D11),D11,0)</f>
        <v>0</v>
      </c>
      <c r="S8" s="40">
        <f>Q8-R8</f>
        <v>0</v>
      </c>
      <c r="T8" s="40">
        <f>N8*3+O8</f>
        <v>0</v>
      </c>
      <c r="U8">
        <f>T8*100000000 + (S8+100)*100000 + Q8*1000 + IFERROR(VLOOKUP(L8, RankingFIFA!$A$1:$B$48, 2, FALSE), 0) + (8/1000)</f>
        <v>10001000.007999999</v>
      </c>
    </row>
    <row r="9" spans="1:21" x14ac:dyDescent="0.25">
      <c r="C9" s="4" t="s">
        <v>22</v>
      </c>
      <c r="D9" s="42"/>
      <c r="E9" s="5" t="s">
        <v>21</v>
      </c>
      <c r="F9" s="42"/>
      <c r="G9" s="6" t="s">
        <v>26</v>
      </c>
      <c r="H9" t="str">
        <f t="shared" si="0"/>
        <v/>
      </c>
      <c r="I9" t="s">
        <v>29</v>
      </c>
      <c r="K9" s="40" t="s">
        <v>24</v>
      </c>
      <c r="L9" t="s">
        <v>26</v>
      </c>
      <c r="M9" s="40">
        <f>IF(ISNUMBER(F7),1,0)+IF(ISNUMBER(F9),1,0)+IF(ISNUMBER(D10),1,0)</f>
        <v>0</v>
      </c>
      <c r="N9" s="40">
        <f>IF(AND(ISNUMBER(F7),ISNUMBER(D7),F7&gt;D7),1,0)+IF(AND(ISNUMBER(F9),ISNUMBER(D9),F9&gt;D9),1,0)+IF(AND(ISNUMBER(D10),ISNUMBER(F10),D10&gt;F10),1,0)</f>
        <v>0</v>
      </c>
      <c r="O9" s="40">
        <f>IF(AND(ISNUMBER(F7),ISNUMBER(D7),F7=D7),1,0)+IF(AND(ISNUMBER(F9),ISNUMBER(D9),F9=D9),1,0)+IF(AND(ISNUMBER(D10),ISNUMBER(F10),D10=F10),1,0)</f>
        <v>0</v>
      </c>
      <c r="P9" s="40">
        <f>IF(AND(ISNUMBER(F7),ISNUMBER(D7),F7&lt;D7),1,0)+IF(AND(ISNUMBER(F9),ISNUMBER(D9),F9&lt;D9),1,0)+IF(AND(ISNUMBER(D10),ISNUMBER(F10),D10&lt;F10),1,0)</f>
        <v>0</v>
      </c>
      <c r="Q9" s="40">
        <f>IF(ISNUMBER(F7),F7,0)+IF(ISNUMBER(F9),F9,0)+IF(ISNUMBER(D10),D10,0)</f>
        <v>0</v>
      </c>
      <c r="R9" s="40">
        <f>IF(ISNUMBER(D7),D7,0)+IF(ISNUMBER(D9),D9,0)+IF(ISNUMBER(F10),F10,0)</f>
        <v>0</v>
      </c>
      <c r="S9" s="40">
        <f>Q9-R9</f>
        <v>0</v>
      </c>
      <c r="T9" s="40">
        <f>N9*3+O9</f>
        <v>0</v>
      </c>
      <c r="U9">
        <f>T9*100000000 + (S9+100)*100000 + Q9*1000 + IFERROR(VLOOKUP(L9, RankingFIFA!$A$1:$B$48, 2, FALSE), 0) + (9/1000)</f>
        <v>10001000.009</v>
      </c>
    </row>
    <row r="10" spans="1:21" x14ac:dyDescent="0.25">
      <c r="C10" s="4" t="s">
        <v>26</v>
      </c>
      <c r="D10" s="42"/>
      <c r="E10" s="5" t="s">
        <v>21</v>
      </c>
      <c r="F10" s="42"/>
      <c r="G10" s="6" t="s">
        <v>20</v>
      </c>
      <c r="H10" t="str">
        <f t="shared" si="0"/>
        <v/>
      </c>
      <c r="I10" t="s">
        <v>30</v>
      </c>
    </row>
    <row r="11" spans="1:21" ht="18.75" customHeight="1" x14ac:dyDescent="0.25">
      <c r="C11" s="4" t="s">
        <v>22</v>
      </c>
      <c r="D11" s="42"/>
      <c r="E11" s="5" t="s">
        <v>21</v>
      </c>
      <c r="F11" s="42"/>
      <c r="G11" s="6" t="s">
        <v>25</v>
      </c>
      <c r="H11" t="str">
        <f t="shared" si="0"/>
        <v/>
      </c>
      <c r="I11" t="s">
        <v>30</v>
      </c>
      <c r="J11" s="48"/>
      <c r="K11" s="49"/>
      <c r="L11" s="49"/>
      <c r="M11" s="49"/>
      <c r="N11" s="49"/>
      <c r="O11" s="49"/>
      <c r="P11" s="49"/>
      <c r="Q11" s="49"/>
      <c r="R11" s="49"/>
      <c r="S11" s="49"/>
      <c r="T11" s="49"/>
    </row>
    <row r="12" spans="1:21" x14ac:dyDescent="0.25">
      <c r="K12" s="40" t="s">
        <v>31</v>
      </c>
      <c r="L12" t="s">
        <v>32</v>
      </c>
      <c r="M12" s="40">
        <f>IF(ISNUMBER(D14),1,0)+IF(ISNUMBER(D16),1,0)+IF(ISNUMBER(F18),1,0)</f>
        <v>0</v>
      </c>
      <c r="N12" s="40">
        <f>IF(AND(ISNUMBER(D14),ISNUMBER(F14),D14&gt;F14),1,0)+IF(AND(ISNUMBER(D16),ISNUMBER(F16),D16&gt;F16),1,0)+IF(AND(ISNUMBER(F18),ISNUMBER(D18),F18&gt;D18),1,0)</f>
        <v>0</v>
      </c>
      <c r="O12" s="40">
        <f>IF(AND(ISNUMBER(D14),ISNUMBER(F14),D14=F14),1,0)+IF(AND(ISNUMBER(D16),ISNUMBER(F16),D16=F16),1,0)+IF(AND(ISNUMBER(F18),ISNUMBER(D18),F18=D18),1,0)</f>
        <v>0</v>
      </c>
      <c r="P12" s="40">
        <f>IF(AND(ISNUMBER(D14),ISNUMBER(F14),D14&lt;F14),1,0)+IF(AND(ISNUMBER(D16),ISNUMBER(F16),D16&lt;F16),1,0)+IF(AND(ISNUMBER(F18),ISNUMBER(D18),F18&lt;D18),1,0)</f>
        <v>0</v>
      </c>
      <c r="Q12" s="40">
        <f>IF(ISNUMBER(D14),D14,0)+IF(ISNUMBER(D16),D16,0)+IF(ISNUMBER(F18),F18,0)</f>
        <v>0</v>
      </c>
      <c r="R12" s="40">
        <f>IF(ISNUMBER(F14),F14,0)+IF(ISNUMBER(F16),F16,0)+IF(ISNUMBER(D18),D18,0)</f>
        <v>0</v>
      </c>
      <c r="S12" s="40">
        <f>Q12-R12</f>
        <v>0</v>
      </c>
      <c r="T12" s="40">
        <f>N12*3+O12</f>
        <v>0</v>
      </c>
      <c r="U12">
        <f>T12*100000000 + (S12+100)*100000 + Q12*1000 + IFERROR(VLOOKUP(L12, RankingFIFA!$A$1:$B$48, 2, FALSE), 0) + (12/1000)</f>
        <v>10001000.012</v>
      </c>
    </row>
    <row r="13" spans="1:21" ht="18.75" customHeight="1" x14ac:dyDescent="0.35">
      <c r="A13" s="27" t="s">
        <v>33</v>
      </c>
      <c r="B13" s="26"/>
      <c r="C13" s="26"/>
      <c r="D13" s="41"/>
      <c r="E13" s="26"/>
      <c r="F13" s="41"/>
      <c r="G13" s="26"/>
      <c r="H13" s="26"/>
      <c r="I13" s="26"/>
      <c r="K13" s="40" t="s">
        <v>31</v>
      </c>
      <c r="L13" t="s">
        <v>34</v>
      </c>
      <c r="M13" s="40">
        <f>IF(ISNUMBER(F14),1,0)+IF(ISNUMBER(D17),1,0)+IF(ISNUMBER(D19),1,0)</f>
        <v>0</v>
      </c>
      <c r="N13" s="40">
        <f>IF(AND(ISNUMBER(F14),ISNUMBER(D14),F14&gt;D14),1,0)+IF(AND(ISNUMBER(D17),ISNUMBER(F17),D17&gt;F17),1,0)+IF(AND(ISNUMBER(D19),ISNUMBER(F19),D19&gt;F19),1,0)</f>
        <v>0</v>
      </c>
      <c r="O13" s="40">
        <f>IF(AND(ISNUMBER(F14),ISNUMBER(D14),F14=D14),1,0)+IF(AND(ISNUMBER(D17),ISNUMBER(F17),D17=F17),1,0)+IF(AND(ISNUMBER(D19),ISNUMBER(F19),D19=F19),1,0)</f>
        <v>0</v>
      </c>
      <c r="P13" s="40">
        <f>IF(AND(ISNUMBER(F14),ISNUMBER(D14),F14&lt;D14),1,0)+IF(AND(ISNUMBER(D17),ISNUMBER(F17),D17&lt;F17),1,0)+IF(AND(ISNUMBER(D19),ISNUMBER(F19),D19&lt;F19),1,0)</f>
        <v>0</v>
      </c>
      <c r="Q13" s="40">
        <f>IF(ISNUMBER(F14),F14,0)+IF(ISNUMBER(D17),D17,0)+IF(ISNUMBER(D19),D19,0)</f>
        <v>0</v>
      </c>
      <c r="R13" s="40">
        <f>IF(ISNUMBER(D14),D14,0)+IF(ISNUMBER(F17),F17,0)+IF(ISNUMBER(F19),F19,0)</f>
        <v>0</v>
      </c>
      <c r="S13" s="40">
        <f>Q13-R13</f>
        <v>0</v>
      </c>
      <c r="T13" s="40">
        <f>N13*3+O13</f>
        <v>0</v>
      </c>
      <c r="U13">
        <f>T13*100000000 + (S13+100)*100000 + Q13*1000 + IFERROR(VLOOKUP(L13, RankingFIFA!$A$1:$B$48, 2, FALSE), 0) + (13/1000)</f>
        <v>10001000.013</v>
      </c>
    </row>
    <row r="14" spans="1:21" x14ac:dyDescent="0.25">
      <c r="C14" s="4" t="s">
        <v>32</v>
      </c>
      <c r="D14" s="42"/>
      <c r="E14" s="5" t="s">
        <v>21</v>
      </c>
      <c r="F14" s="42"/>
      <c r="G14" s="6" t="s">
        <v>34</v>
      </c>
      <c r="H14" t="str">
        <f t="shared" ref="H14:H19" si="1">IF(AND(ISNUMBER(D14),ISNUMBER(F14)),"Ok","")</f>
        <v/>
      </c>
      <c r="I14" t="s">
        <v>35</v>
      </c>
      <c r="K14" s="40" t="s">
        <v>31</v>
      </c>
      <c r="L14" t="s">
        <v>36</v>
      </c>
      <c r="M14" s="40">
        <f>IF(ISNUMBER(D15),1,0)+IF(ISNUMBER(F16),1,0)+IF(ISNUMBER(F19),1,0)</f>
        <v>0</v>
      </c>
      <c r="N14" s="40">
        <f>IF(AND(ISNUMBER(D15),ISNUMBER(F15),D15&gt;F15),1,0)+IF(AND(ISNUMBER(F16),ISNUMBER(D16),F16&gt;D16),1,0)+IF(AND(ISNUMBER(F19),ISNUMBER(D19),F19&gt;D19),1,0)</f>
        <v>0</v>
      </c>
      <c r="O14" s="40">
        <f>IF(AND(ISNUMBER(D15),ISNUMBER(F15),D15=F15),1,0)+IF(AND(ISNUMBER(F16),ISNUMBER(D16),F16=D16),1,0)+IF(AND(ISNUMBER(F19),ISNUMBER(D19),F19=D19),1,0)</f>
        <v>0</v>
      </c>
      <c r="P14" s="40">
        <f>IF(AND(ISNUMBER(D15),ISNUMBER(F15),D15&lt;F15),1,0)+IF(AND(ISNUMBER(F16),ISNUMBER(D16),F16&lt;D16),1,0)+IF(AND(ISNUMBER(F19),ISNUMBER(D19),F19&lt;D19),1,0)</f>
        <v>0</v>
      </c>
      <c r="Q14" s="40">
        <f>IF(ISNUMBER(D15),D15,0)+IF(ISNUMBER(F16),F16,0)+IF(ISNUMBER(F19),F19,0)</f>
        <v>0</v>
      </c>
      <c r="R14" s="40">
        <f>IF(ISNUMBER(F15),F15,0)+IF(ISNUMBER(D16),D16,0)+IF(ISNUMBER(D19),D19,0)</f>
        <v>0</v>
      </c>
      <c r="S14" s="40">
        <f>Q14-R14</f>
        <v>0</v>
      </c>
      <c r="T14" s="40">
        <f>N14*3+O14</f>
        <v>0</v>
      </c>
      <c r="U14">
        <f>T14*100000000 + (S14+100)*100000 + Q14*1000 + IFERROR(VLOOKUP(L14, RankingFIFA!$A$1:$B$48, 2, FALSE), 0) + (14/1000)</f>
        <v>10001000.014</v>
      </c>
    </row>
    <row r="15" spans="1:21" x14ac:dyDescent="0.25">
      <c r="C15" s="4" t="s">
        <v>36</v>
      </c>
      <c r="D15" s="42"/>
      <c r="E15" s="5" t="s">
        <v>21</v>
      </c>
      <c r="F15" s="42"/>
      <c r="G15" s="6" t="s">
        <v>37</v>
      </c>
      <c r="H15" t="str">
        <f t="shared" si="1"/>
        <v/>
      </c>
      <c r="I15" t="s">
        <v>38</v>
      </c>
      <c r="K15" s="40" t="s">
        <v>31</v>
      </c>
      <c r="L15" t="s">
        <v>37</v>
      </c>
      <c r="M15" s="40">
        <f>IF(ISNUMBER(F15),1,0)+IF(ISNUMBER(F17),1,0)+IF(ISNUMBER(D18),1,0)</f>
        <v>0</v>
      </c>
      <c r="N15" s="40">
        <f>IF(AND(ISNUMBER(F15),ISNUMBER(D15),F15&gt;D15),1,0)+IF(AND(ISNUMBER(F17),ISNUMBER(D17),F17&gt;D17),1,0)+IF(AND(ISNUMBER(D18),ISNUMBER(F18),D18&gt;F18),1,0)</f>
        <v>0</v>
      </c>
      <c r="O15" s="40">
        <f>IF(AND(ISNUMBER(F15),ISNUMBER(D15),F15=D15),1,0)+IF(AND(ISNUMBER(F17),ISNUMBER(D17),F17=D17),1,0)+IF(AND(ISNUMBER(D18),ISNUMBER(F18),D18=F18),1,0)</f>
        <v>0</v>
      </c>
      <c r="P15" s="40">
        <f>IF(AND(ISNUMBER(F15),ISNUMBER(D15),F15&lt;D15),1,0)+IF(AND(ISNUMBER(F17),ISNUMBER(D17),F17&lt;D17),1,0)+IF(AND(ISNUMBER(D18),ISNUMBER(F18),D18&lt;F18),1,0)</f>
        <v>0</v>
      </c>
      <c r="Q15" s="40">
        <f>IF(ISNUMBER(F15),F15,0)+IF(ISNUMBER(F17),F17,0)+IF(ISNUMBER(D18),D18,0)</f>
        <v>0</v>
      </c>
      <c r="R15" s="40">
        <f>IF(ISNUMBER(D15),D15,0)+IF(ISNUMBER(D17),D17,0)+IF(ISNUMBER(F18),F18,0)</f>
        <v>0</v>
      </c>
      <c r="S15" s="40">
        <f>Q15-R15</f>
        <v>0</v>
      </c>
      <c r="T15" s="40">
        <f>N15*3+O15</f>
        <v>0</v>
      </c>
      <c r="U15">
        <f>T15*100000000 + (S15+100)*100000 + Q15*1000 + IFERROR(VLOOKUP(L15, RankingFIFA!$A$1:$B$48, 2, FALSE), 0) + (15/1000)</f>
        <v>10001000.015000001</v>
      </c>
    </row>
    <row r="16" spans="1:21" x14ac:dyDescent="0.25">
      <c r="C16" s="4" t="s">
        <v>32</v>
      </c>
      <c r="D16" s="42"/>
      <c r="E16" s="5" t="s">
        <v>21</v>
      </c>
      <c r="F16" s="42"/>
      <c r="G16" s="6" t="s">
        <v>36</v>
      </c>
      <c r="H16" t="str">
        <f t="shared" si="1"/>
        <v/>
      </c>
      <c r="I16" t="s">
        <v>39</v>
      </c>
    </row>
    <row r="17" spans="1:21" ht="18.75" customHeight="1" x14ac:dyDescent="0.25">
      <c r="C17" s="4" t="s">
        <v>34</v>
      </c>
      <c r="D17" s="42"/>
      <c r="E17" s="5" t="s">
        <v>21</v>
      </c>
      <c r="F17" s="42"/>
      <c r="G17" s="6" t="s">
        <v>37</v>
      </c>
      <c r="H17" t="str">
        <f t="shared" si="1"/>
        <v/>
      </c>
      <c r="I17" t="s">
        <v>40</v>
      </c>
      <c r="J17" s="48"/>
      <c r="K17" s="49"/>
      <c r="L17" s="49"/>
      <c r="M17" s="49"/>
      <c r="N17" s="49"/>
      <c r="O17" s="49"/>
      <c r="P17" s="49"/>
      <c r="Q17" s="49"/>
      <c r="R17" s="49"/>
      <c r="S17" s="49"/>
      <c r="T17" s="49"/>
    </row>
    <row r="18" spans="1:21" x14ac:dyDescent="0.25">
      <c r="C18" s="4" t="s">
        <v>37</v>
      </c>
      <c r="D18" s="42"/>
      <c r="E18" s="5" t="s">
        <v>21</v>
      </c>
      <c r="F18" s="42"/>
      <c r="G18" s="6" t="s">
        <v>32</v>
      </c>
      <c r="H18" t="str">
        <f t="shared" si="1"/>
        <v/>
      </c>
      <c r="I18" t="s">
        <v>41</v>
      </c>
      <c r="K18" s="40" t="s">
        <v>42</v>
      </c>
      <c r="L18" t="s">
        <v>43</v>
      </c>
      <c r="M18" s="40">
        <f>IF(ISNUMBER(D22),1,0)+IF(ISNUMBER(D24),1,0)+IF(ISNUMBER(F26),1,0)</f>
        <v>0</v>
      </c>
      <c r="N18" s="40">
        <f>IF(AND(ISNUMBER(D22),ISNUMBER(F22),D22&gt;F22),1,0)+IF(AND(ISNUMBER(D24),ISNUMBER(F24),D24&gt;F24),1,0)+IF(AND(ISNUMBER(F26),ISNUMBER(D26),F26&gt;D26),1,0)</f>
        <v>0</v>
      </c>
      <c r="O18" s="40">
        <f>IF(AND(ISNUMBER(D22),ISNUMBER(F22),D22=F22),1,0)+IF(AND(ISNUMBER(D24),ISNUMBER(F24),D24=F24),1,0)+IF(AND(ISNUMBER(F26),ISNUMBER(D26),F26=D26),1,0)</f>
        <v>0</v>
      </c>
      <c r="P18" s="40">
        <f>IF(AND(ISNUMBER(D22),ISNUMBER(F22),D22&lt;F22),1,0)+IF(AND(ISNUMBER(D24),ISNUMBER(F24),D24&lt;F24),1,0)+IF(AND(ISNUMBER(F26),ISNUMBER(D26),F26&lt;D26),1,0)</f>
        <v>0</v>
      </c>
      <c r="Q18" s="40">
        <f>IF(ISNUMBER(D22),D22,0)+IF(ISNUMBER(D24),D24,0)+IF(ISNUMBER(F26),F26,0)</f>
        <v>0</v>
      </c>
      <c r="R18" s="40">
        <f>IF(ISNUMBER(F22),F22,0)+IF(ISNUMBER(F24),F24,0)+IF(ISNUMBER(D26),D26,0)</f>
        <v>0</v>
      </c>
      <c r="S18" s="40">
        <f>Q18-R18</f>
        <v>0</v>
      </c>
      <c r="T18" s="40">
        <f>N18*3+O18</f>
        <v>0</v>
      </c>
      <c r="U18">
        <f>T18*100000000 + (S18+100)*100000 + Q18*1000 + IFERROR(VLOOKUP(L18, RankingFIFA!$A$1:$B$48, 2, FALSE), 0) + (18/1000)</f>
        <v>10001000.017999999</v>
      </c>
    </row>
    <row r="19" spans="1:21" x14ac:dyDescent="0.25">
      <c r="C19" s="4" t="s">
        <v>34</v>
      </c>
      <c r="D19" s="42"/>
      <c r="E19" s="5" t="s">
        <v>21</v>
      </c>
      <c r="F19" s="42"/>
      <c r="G19" s="6" t="s">
        <v>36</v>
      </c>
      <c r="H19" t="str">
        <f t="shared" si="1"/>
        <v/>
      </c>
      <c r="I19" t="s">
        <v>41</v>
      </c>
      <c r="K19" s="40" t="s">
        <v>42</v>
      </c>
      <c r="L19" t="s">
        <v>44</v>
      </c>
      <c r="M19" s="40">
        <f>IF(ISNUMBER(F22),1,0)+IF(ISNUMBER(D25),1,0)+IF(ISNUMBER(D27),1,0)</f>
        <v>0</v>
      </c>
      <c r="N19" s="40">
        <f>IF(AND(ISNUMBER(F22),ISNUMBER(D22),F22&gt;D22),1,0)+IF(AND(ISNUMBER(D25),ISNUMBER(F25),D25&gt;F25),1,0)+IF(AND(ISNUMBER(D27),ISNUMBER(F27),D27&gt;F27),1,0)</f>
        <v>0</v>
      </c>
      <c r="O19" s="40">
        <f>IF(AND(ISNUMBER(F22),ISNUMBER(D22),F22=D22),1,0)+IF(AND(ISNUMBER(D25),ISNUMBER(F25),D25=F25),1,0)+IF(AND(ISNUMBER(D27),ISNUMBER(F27),D27=F27),1,0)</f>
        <v>0</v>
      </c>
      <c r="P19" s="40">
        <f>IF(AND(ISNUMBER(F22),ISNUMBER(D22),F22&lt;D22),1,0)+IF(AND(ISNUMBER(D25),ISNUMBER(F25),D25&lt;F25),1,0)+IF(AND(ISNUMBER(D27),ISNUMBER(F27),D27&lt;F27),1,0)</f>
        <v>0</v>
      </c>
      <c r="Q19" s="40">
        <f>IF(ISNUMBER(F22),F22,0)+IF(ISNUMBER(D25),D25,0)+IF(ISNUMBER(D27),D27,0)</f>
        <v>0</v>
      </c>
      <c r="R19" s="40">
        <f>IF(ISNUMBER(D22),D22,0)+IF(ISNUMBER(F25),F25,0)+IF(ISNUMBER(F27),F27,0)</f>
        <v>0</v>
      </c>
      <c r="S19" s="40">
        <f>Q19-R19</f>
        <v>0</v>
      </c>
      <c r="T19" s="40">
        <f>N19*3+O19</f>
        <v>0</v>
      </c>
      <c r="U19">
        <f>T19*100000000 + (S19+100)*100000 + Q19*1000 + IFERROR(VLOOKUP(L19, RankingFIFA!$A$1:$B$48, 2, FALSE), 0) + (19/1000)</f>
        <v>10001000.018999999</v>
      </c>
    </row>
    <row r="20" spans="1:21" x14ac:dyDescent="0.25">
      <c r="K20" s="40" t="s">
        <v>42</v>
      </c>
      <c r="L20" t="s">
        <v>45</v>
      </c>
      <c r="M20" s="40">
        <f>IF(ISNUMBER(D23),1,0)+IF(ISNUMBER(F24),1,0)+IF(ISNUMBER(F27),1,0)</f>
        <v>0</v>
      </c>
      <c r="N20" s="40">
        <f>IF(AND(ISNUMBER(D23),ISNUMBER(F23),D23&gt;F23),1,0)+IF(AND(ISNUMBER(F24),ISNUMBER(D24),F24&gt;D24),1,0)+IF(AND(ISNUMBER(F27),ISNUMBER(D27),F27&gt;D27),1,0)</f>
        <v>0</v>
      </c>
      <c r="O20" s="40">
        <f>IF(AND(ISNUMBER(D23),ISNUMBER(F23),D23=F23),1,0)+IF(AND(ISNUMBER(F24),ISNUMBER(D24),F24=D24),1,0)+IF(AND(ISNUMBER(F27),ISNUMBER(D27),F27=D27),1,0)</f>
        <v>0</v>
      </c>
      <c r="P20" s="40">
        <f>IF(AND(ISNUMBER(D23),ISNUMBER(F23),D23&lt;F23),1,0)+IF(AND(ISNUMBER(F24),ISNUMBER(D24),F24&lt;D24),1,0)+IF(AND(ISNUMBER(F27),ISNUMBER(D27),F27&lt;D27),1,0)</f>
        <v>0</v>
      </c>
      <c r="Q20" s="40">
        <f>IF(ISNUMBER(D23),D23,0)+IF(ISNUMBER(F24),F24,0)+IF(ISNUMBER(F27),F27,0)</f>
        <v>0</v>
      </c>
      <c r="R20" s="40">
        <f>IF(ISNUMBER(F23),F23,0)+IF(ISNUMBER(D24),D24,0)+IF(ISNUMBER(D27),D27,0)</f>
        <v>0</v>
      </c>
      <c r="S20" s="40">
        <f>Q20-R20</f>
        <v>0</v>
      </c>
      <c r="T20" s="40">
        <f>N20*3+O20</f>
        <v>0</v>
      </c>
      <c r="U20">
        <f>T20*100000000 + (S20+100)*100000 + Q20*1000 + IFERROR(VLOOKUP(L20, RankingFIFA!$A$1:$B$48, 2, FALSE), 0) + (20/1000)</f>
        <v>10001000.02</v>
      </c>
    </row>
    <row r="21" spans="1:21" ht="18.75" customHeight="1" x14ac:dyDescent="0.35">
      <c r="A21" s="27" t="s">
        <v>46</v>
      </c>
      <c r="B21" s="26"/>
      <c r="C21" s="26"/>
      <c r="D21" s="41"/>
      <c r="E21" s="26"/>
      <c r="F21" s="41"/>
      <c r="G21" s="26"/>
      <c r="H21" s="26"/>
      <c r="I21" s="26"/>
      <c r="K21" s="40" t="s">
        <v>42</v>
      </c>
      <c r="L21" t="s">
        <v>47</v>
      </c>
      <c r="M21" s="40">
        <f>IF(ISNUMBER(F23),1,0)+IF(ISNUMBER(F25),1,0)+IF(ISNUMBER(D26),1,0)</f>
        <v>0</v>
      </c>
      <c r="N21" s="40">
        <f>IF(AND(ISNUMBER(F23),ISNUMBER(D23),F23&gt;D23),1,0)+IF(AND(ISNUMBER(F25),ISNUMBER(D25),F25&gt;D25),1,0)+IF(AND(ISNUMBER(D26),ISNUMBER(F26),D26&gt;F26),1,0)</f>
        <v>0</v>
      </c>
      <c r="O21" s="40">
        <f>IF(AND(ISNUMBER(F23),ISNUMBER(D23),F23=D23),1,0)+IF(AND(ISNUMBER(F25),ISNUMBER(D25),F25=D25),1,0)+IF(AND(ISNUMBER(D26),ISNUMBER(F26),D26=F26),1,0)</f>
        <v>0</v>
      </c>
      <c r="P21" s="40">
        <f>IF(AND(ISNUMBER(F23),ISNUMBER(D23),F23&lt;D23),1,0)+IF(AND(ISNUMBER(F25),ISNUMBER(D25),F25&lt;D25),1,0)+IF(AND(ISNUMBER(D26),ISNUMBER(F26),D26&lt;F26),1,0)</f>
        <v>0</v>
      </c>
      <c r="Q21" s="40">
        <f>IF(ISNUMBER(F23),F23,0)+IF(ISNUMBER(F25),F25,0)+IF(ISNUMBER(D26),D26,0)</f>
        <v>0</v>
      </c>
      <c r="R21" s="40">
        <f>IF(ISNUMBER(D23),D23,0)+IF(ISNUMBER(D25),D25,0)+IF(ISNUMBER(F26),F26,0)</f>
        <v>0</v>
      </c>
      <c r="S21" s="40">
        <f>Q21-R21</f>
        <v>0</v>
      </c>
      <c r="T21" s="40">
        <f>N21*3+O21</f>
        <v>0</v>
      </c>
      <c r="U21">
        <f>T21*100000000 + (S21+100)*100000 + Q21*1000 + IFERROR(VLOOKUP(L21, RankingFIFA!$A$1:$B$48, 2, FALSE), 0) + (21/1000)</f>
        <v>10001000.021</v>
      </c>
    </row>
    <row r="22" spans="1:21" x14ac:dyDescent="0.25">
      <c r="C22" s="4" t="s">
        <v>43</v>
      </c>
      <c r="D22" s="42"/>
      <c r="E22" s="5" t="s">
        <v>21</v>
      </c>
      <c r="F22" s="42"/>
      <c r="G22" s="6" t="s">
        <v>44</v>
      </c>
      <c r="H22" t="str">
        <f t="shared" ref="H22:H27" si="2">IF(AND(ISNUMBER(D22),ISNUMBER(F22)),"Ok","")</f>
        <v/>
      </c>
      <c r="I22" t="s">
        <v>48</v>
      </c>
    </row>
    <row r="23" spans="1:21" ht="18.75" customHeight="1" x14ac:dyDescent="0.25">
      <c r="C23" s="4" t="s">
        <v>45</v>
      </c>
      <c r="D23" s="42"/>
      <c r="E23" s="5" t="s">
        <v>21</v>
      </c>
      <c r="F23" s="42"/>
      <c r="G23" s="6" t="s">
        <v>47</v>
      </c>
      <c r="H23" t="str">
        <f t="shared" si="2"/>
        <v/>
      </c>
      <c r="I23" t="s">
        <v>49</v>
      </c>
      <c r="J23" s="48"/>
      <c r="K23" s="49"/>
      <c r="L23" s="49"/>
      <c r="M23" s="49"/>
      <c r="N23" s="49"/>
      <c r="O23" s="49"/>
      <c r="P23" s="49"/>
      <c r="Q23" s="49"/>
      <c r="R23" s="49"/>
      <c r="S23" s="49"/>
      <c r="T23" s="49"/>
    </row>
    <row r="24" spans="1:21" x14ac:dyDescent="0.25">
      <c r="C24" s="4" t="s">
        <v>43</v>
      </c>
      <c r="D24" s="42"/>
      <c r="E24" s="5" t="s">
        <v>21</v>
      </c>
      <c r="F24" s="42"/>
      <c r="G24" s="6" t="s">
        <v>45</v>
      </c>
      <c r="H24" t="str">
        <f t="shared" si="2"/>
        <v/>
      </c>
      <c r="I24" t="s">
        <v>50</v>
      </c>
      <c r="K24" s="40" t="s">
        <v>51</v>
      </c>
      <c r="L24" t="s">
        <v>52</v>
      </c>
      <c r="M24" s="40">
        <f>IF(ISNUMBER(D30),1,0)+IF(ISNUMBER(D32),1,0)+IF(ISNUMBER(F34),1,0)</f>
        <v>0</v>
      </c>
      <c r="N24" s="40">
        <f>IF(AND(ISNUMBER(D30),ISNUMBER(F30),D30&gt;F30),1,0)+IF(AND(ISNUMBER(D32),ISNUMBER(F32),D32&gt;F32),1,0)+IF(AND(ISNUMBER(F34),ISNUMBER(D34),F34&gt;D34),1,0)</f>
        <v>0</v>
      </c>
      <c r="O24" s="40">
        <f>IF(AND(ISNUMBER(D30),ISNUMBER(F30),D30=F30),1,0)+IF(AND(ISNUMBER(D32),ISNUMBER(F32),D32=F32),1,0)+IF(AND(ISNUMBER(F34),ISNUMBER(D34),F34=D34),1,0)</f>
        <v>0</v>
      </c>
      <c r="P24" s="40">
        <f>IF(AND(ISNUMBER(D30),ISNUMBER(F30),D30&lt;F30),1,0)+IF(AND(ISNUMBER(D32),ISNUMBER(F32),D32&lt;F32),1,0)+IF(AND(ISNUMBER(F34),ISNUMBER(D34),F34&lt;D34),1,0)</f>
        <v>0</v>
      </c>
      <c r="Q24" s="40">
        <f>IF(ISNUMBER(D30),D30,0)+IF(ISNUMBER(D32),D32,0)+IF(ISNUMBER(F34),F34,0)</f>
        <v>0</v>
      </c>
      <c r="R24" s="40">
        <f>IF(ISNUMBER(F30),F30,0)+IF(ISNUMBER(F32),F32,0)+IF(ISNUMBER(D34),D34,0)</f>
        <v>0</v>
      </c>
      <c r="S24" s="40">
        <f>Q24-R24</f>
        <v>0</v>
      </c>
      <c r="T24" s="40">
        <f>N24*3+O24</f>
        <v>0</v>
      </c>
      <c r="U24">
        <f>T24*100000000 + (S24+100)*100000 + Q24*1000 + IFERROR(VLOOKUP(L24, RankingFIFA!$A$1:$B$48, 2, FALSE), 0) + (24/1000)</f>
        <v>10001000.024</v>
      </c>
    </row>
    <row r="25" spans="1:21" x14ac:dyDescent="0.25">
      <c r="C25" s="4" t="s">
        <v>44</v>
      </c>
      <c r="D25" s="42"/>
      <c r="E25" s="5" t="s">
        <v>21</v>
      </c>
      <c r="F25" s="42"/>
      <c r="G25" s="6" t="s">
        <v>47</v>
      </c>
      <c r="H25" t="str">
        <f t="shared" si="2"/>
        <v/>
      </c>
      <c r="I25" t="s">
        <v>53</v>
      </c>
      <c r="K25" s="40" t="s">
        <v>51</v>
      </c>
      <c r="L25" t="s">
        <v>54</v>
      </c>
      <c r="M25" s="40">
        <f>IF(ISNUMBER(F30),1,0)+IF(ISNUMBER(D33),1,0)+IF(ISNUMBER(D35),1,0)</f>
        <v>0</v>
      </c>
      <c r="N25" s="40">
        <f>IF(AND(ISNUMBER(F30),ISNUMBER(D30),F30&gt;D30),1,0)+IF(AND(ISNUMBER(D33),ISNUMBER(F33),D33&gt;F33),1,0)+IF(AND(ISNUMBER(D35),ISNUMBER(F35),D35&gt;F35),1,0)</f>
        <v>0</v>
      </c>
      <c r="O25" s="40">
        <f>IF(AND(ISNUMBER(F30),ISNUMBER(D30),F30=D30),1,0)+IF(AND(ISNUMBER(D33),ISNUMBER(F33),D33=F33),1,0)+IF(AND(ISNUMBER(D35),ISNUMBER(F35),D35=F35),1,0)</f>
        <v>0</v>
      </c>
      <c r="P25" s="40">
        <f>IF(AND(ISNUMBER(F30),ISNUMBER(D30),F30&lt;D30),1,0)+IF(AND(ISNUMBER(D33),ISNUMBER(F33),D33&lt;F33),1,0)+IF(AND(ISNUMBER(D35),ISNUMBER(F35),D35&lt;F35),1,0)</f>
        <v>0</v>
      </c>
      <c r="Q25" s="40">
        <f>IF(ISNUMBER(F30),F30,0)+IF(ISNUMBER(D33),D33,0)+IF(ISNUMBER(D35),D35,0)</f>
        <v>0</v>
      </c>
      <c r="R25" s="40">
        <f>IF(ISNUMBER(D30),D30,0)+IF(ISNUMBER(F33),F33,0)+IF(ISNUMBER(F35),F35,0)</f>
        <v>0</v>
      </c>
      <c r="S25" s="40">
        <f>Q25-R25</f>
        <v>0</v>
      </c>
      <c r="T25" s="40">
        <f>N25*3+O25</f>
        <v>0</v>
      </c>
      <c r="U25">
        <f>T25*100000000 + (S25+100)*100000 + Q25*1000 + IFERROR(VLOOKUP(L25, RankingFIFA!$A$1:$B$48, 2, FALSE), 0) + (25/1000)</f>
        <v>10001000.025</v>
      </c>
    </row>
    <row r="26" spans="1:21" x14ac:dyDescent="0.25">
      <c r="C26" s="4" t="s">
        <v>47</v>
      </c>
      <c r="D26" s="42"/>
      <c r="E26" s="5" t="s">
        <v>21</v>
      </c>
      <c r="F26" s="42"/>
      <c r="G26" s="6" t="s">
        <v>43</v>
      </c>
      <c r="H26" t="str">
        <f t="shared" si="2"/>
        <v/>
      </c>
      <c r="I26" t="s">
        <v>55</v>
      </c>
      <c r="K26" s="40" t="s">
        <v>51</v>
      </c>
      <c r="L26" t="s">
        <v>56</v>
      </c>
      <c r="M26" s="40">
        <f>IF(ISNUMBER(D31),1,0)+IF(ISNUMBER(F32),1,0)+IF(ISNUMBER(F35),1,0)</f>
        <v>0</v>
      </c>
      <c r="N26" s="40">
        <f>IF(AND(ISNUMBER(D31),ISNUMBER(F31),D31&gt;F31),1,0)+IF(AND(ISNUMBER(F32),ISNUMBER(D32),F32&gt;D32),1,0)+IF(AND(ISNUMBER(F35),ISNUMBER(D35),F35&gt;D35),1,0)</f>
        <v>0</v>
      </c>
      <c r="O26" s="40">
        <f>IF(AND(ISNUMBER(D31),ISNUMBER(F31),D31=F31),1,0)+IF(AND(ISNUMBER(F32),ISNUMBER(D32),F32=D32),1,0)+IF(AND(ISNUMBER(F35),ISNUMBER(D35),F35=D35),1,0)</f>
        <v>0</v>
      </c>
      <c r="P26" s="40">
        <f>IF(AND(ISNUMBER(D31),ISNUMBER(F31),D31&lt;F31),1,0)+IF(AND(ISNUMBER(F32),ISNUMBER(D32),F32&lt;D32),1,0)+IF(AND(ISNUMBER(F35),ISNUMBER(D35),F35&lt;D35),1,0)</f>
        <v>0</v>
      </c>
      <c r="Q26" s="40">
        <f>IF(ISNUMBER(D31),D31,0)+IF(ISNUMBER(F32),F32,0)+IF(ISNUMBER(F35),F35,0)</f>
        <v>0</v>
      </c>
      <c r="R26" s="40">
        <f>IF(ISNUMBER(F31),F31,0)+IF(ISNUMBER(D32),D32,0)+IF(ISNUMBER(D35),D35,0)</f>
        <v>0</v>
      </c>
      <c r="S26" s="40">
        <f>Q26-R26</f>
        <v>0</v>
      </c>
      <c r="T26" s="40">
        <f>N26*3+O26</f>
        <v>0</v>
      </c>
      <c r="U26">
        <f>T26*100000000 + (S26+100)*100000 + Q26*1000 + IFERROR(VLOOKUP(L26, RankingFIFA!$A$1:$B$48, 2, FALSE), 0) + (26/1000)</f>
        <v>10001000.026000001</v>
      </c>
    </row>
    <row r="27" spans="1:21" x14ac:dyDescent="0.25">
      <c r="C27" s="4" t="s">
        <v>44</v>
      </c>
      <c r="D27" s="42"/>
      <c r="E27" s="5" t="s">
        <v>21</v>
      </c>
      <c r="F27" s="42"/>
      <c r="G27" s="6" t="s">
        <v>45</v>
      </c>
      <c r="H27" t="str">
        <f t="shared" si="2"/>
        <v/>
      </c>
      <c r="I27" t="s">
        <v>55</v>
      </c>
      <c r="K27" s="40" t="s">
        <v>51</v>
      </c>
      <c r="L27" t="s">
        <v>57</v>
      </c>
      <c r="M27" s="40">
        <f>IF(ISNUMBER(F31),1,0)+IF(ISNUMBER(F33),1,0)+IF(ISNUMBER(D34),1,0)</f>
        <v>0</v>
      </c>
      <c r="N27" s="40">
        <f>IF(AND(ISNUMBER(F31),ISNUMBER(D31),F31&gt;D31),1,0)+IF(AND(ISNUMBER(F33),ISNUMBER(D33),F33&gt;D33),1,0)+IF(AND(ISNUMBER(D34),ISNUMBER(F34),D34&gt;F34),1,0)</f>
        <v>0</v>
      </c>
      <c r="O27" s="40">
        <f>IF(AND(ISNUMBER(F31),ISNUMBER(D31),F31=D31),1,0)+IF(AND(ISNUMBER(F33),ISNUMBER(D33),F33=D33),1,0)+IF(AND(ISNUMBER(D34),ISNUMBER(F34),D34=F34),1,0)</f>
        <v>0</v>
      </c>
      <c r="P27" s="40">
        <f>IF(AND(ISNUMBER(F31),ISNUMBER(D31),F31&lt;D31),1,0)+IF(AND(ISNUMBER(F33),ISNUMBER(D33),F33&lt;D33),1,0)+IF(AND(ISNUMBER(D34),ISNUMBER(F34),D34&lt;F34),1,0)</f>
        <v>0</v>
      </c>
      <c r="Q27" s="40">
        <f>IF(ISNUMBER(F31),F31,0)+IF(ISNUMBER(F33),F33,0)+IF(ISNUMBER(D34),D34,0)</f>
        <v>0</v>
      </c>
      <c r="R27" s="40">
        <f>IF(ISNUMBER(D31),D31,0)+IF(ISNUMBER(D33),D33,0)+IF(ISNUMBER(F34),F34,0)</f>
        <v>0</v>
      </c>
      <c r="S27" s="40">
        <f>Q27-R27</f>
        <v>0</v>
      </c>
      <c r="T27" s="40">
        <f>N27*3+O27</f>
        <v>0</v>
      </c>
      <c r="U27">
        <f>T27*100000000 + (S27+100)*100000 + Q27*1000 + IFERROR(VLOOKUP(L27, RankingFIFA!$A$1:$B$48, 2, FALSE), 0) + (27/1000)</f>
        <v>10001000.027000001</v>
      </c>
    </row>
    <row r="29" spans="1:21" ht="18.75" customHeight="1" x14ac:dyDescent="0.35">
      <c r="A29" s="27" t="s">
        <v>58</v>
      </c>
      <c r="B29" s="26"/>
      <c r="C29" s="26"/>
      <c r="D29" s="41"/>
      <c r="E29" s="26"/>
      <c r="F29" s="41"/>
      <c r="G29" s="26"/>
      <c r="H29" s="26"/>
      <c r="I29" s="26"/>
      <c r="J29" s="48"/>
      <c r="K29" s="49"/>
      <c r="L29" s="49"/>
      <c r="M29" s="49"/>
      <c r="N29" s="49"/>
      <c r="O29" s="49"/>
      <c r="P29" s="49"/>
      <c r="Q29" s="49"/>
      <c r="R29" s="49"/>
      <c r="S29" s="49"/>
      <c r="T29" s="49"/>
    </row>
    <row r="30" spans="1:21" x14ac:dyDescent="0.25">
      <c r="C30" s="4" t="s">
        <v>52</v>
      </c>
      <c r="D30" s="42"/>
      <c r="E30" s="5" t="s">
        <v>21</v>
      </c>
      <c r="F30" s="42"/>
      <c r="G30" s="6" t="s">
        <v>54</v>
      </c>
      <c r="H30" t="str">
        <f t="shared" ref="H30:H35" si="3">IF(AND(ISNUMBER(D30),ISNUMBER(F30)),"Ok","")</f>
        <v/>
      </c>
      <c r="I30" t="s">
        <v>59</v>
      </c>
      <c r="K30" s="40" t="s">
        <v>60</v>
      </c>
      <c r="L30" t="s">
        <v>61</v>
      </c>
      <c r="M30" s="40">
        <f>IF(ISNUMBER(D38),1,0)+IF(ISNUMBER(D40),1,0)+IF(ISNUMBER(F42),1,0)</f>
        <v>0</v>
      </c>
      <c r="N30" s="40">
        <f>IF(AND(ISNUMBER(D38),ISNUMBER(F38),D38&gt;F38),1,0)+IF(AND(ISNUMBER(D40),ISNUMBER(F40),D40&gt;F40),1,0)+IF(AND(ISNUMBER(F42),ISNUMBER(D42),F42&gt;D42),1,0)</f>
        <v>0</v>
      </c>
      <c r="O30" s="40">
        <f>IF(AND(ISNUMBER(D38),ISNUMBER(F38),D38=F38),1,0)+IF(AND(ISNUMBER(D40),ISNUMBER(F40),D40=F40),1,0)+IF(AND(ISNUMBER(F42),ISNUMBER(D42),F42=D42),1,0)</f>
        <v>0</v>
      </c>
      <c r="P30" s="40">
        <f>IF(AND(ISNUMBER(D38),ISNUMBER(F38),D38&lt;F38),1,0)+IF(AND(ISNUMBER(D40),ISNUMBER(F40),D40&lt;F40),1,0)+IF(AND(ISNUMBER(F42),ISNUMBER(D42),F42&lt;D42),1,0)</f>
        <v>0</v>
      </c>
      <c r="Q30" s="40">
        <f>IF(ISNUMBER(D38),D38,0)+IF(ISNUMBER(D40),D40,0)+IF(ISNUMBER(F42),F42,0)</f>
        <v>0</v>
      </c>
      <c r="R30" s="40">
        <f>IF(ISNUMBER(F38),F38,0)+IF(ISNUMBER(F40),F40,0)+IF(ISNUMBER(D42),D42,0)</f>
        <v>0</v>
      </c>
      <c r="S30" s="40">
        <f>Q30-R30</f>
        <v>0</v>
      </c>
      <c r="T30" s="40">
        <f>N30*3+O30</f>
        <v>0</v>
      </c>
      <c r="U30">
        <f>T30*100000000 + (S30+100)*100000 + Q30*1000 + IFERROR(VLOOKUP(L30, RankingFIFA!$A$1:$B$48, 2, FALSE), 0) + (30/1000)</f>
        <v>10001000.029999999</v>
      </c>
    </row>
    <row r="31" spans="1:21" x14ac:dyDescent="0.25">
      <c r="C31" s="4" t="s">
        <v>56</v>
      </c>
      <c r="D31" s="42"/>
      <c r="E31" s="5" t="s">
        <v>21</v>
      </c>
      <c r="F31" s="42"/>
      <c r="G31" s="6" t="s">
        <v>57</v>
      </c>
      <c r="H31" t="str">
        <f t="shared" si="3"/>
        <v/>
      </c>
      <c r="I31" t="s">
        <v>62</v>
      </c>
      <c r="K31" s="40" t="s">
        <v>60</v>
      </c>
      <c r="L31" t="s">
        <v>63</v>
      </c>
      <c r="M31" s="40">
        <f>IF(ISNUMBER(F38),1,0)+IF(ISNUMBER(D41),1,0)+IF(ISNUMBER(D43),1,0)</f>
        <v>0</v>
      </c>
      <c r="N31" s="40">
        <f>IF(AND(ISNUMBER(F38),ISNUMBER(D38),F38&gt;D38),1,0)+IF(AND(ISNUMBER(D41),ISNUMBER(F41),D41&gt;F41),1,0)+IF(AND(ISNUMBER(D43),ISNUMBER(F43),D43&gt;F43),1,0)</f>
        <v>0</v>
      </c>
      <c r="O31" s="40">
        <f>IF(AND(ISNUMBER(F38),ISNUMBER(D38),F38=D38),1,0)+IF(AND(ISNUMBER(D41),ISNUMBER(F41),D41=F41),1,0)+IF(AND(ISNUMBER(D43),ISNUMBER(F43),D43=F43),1,0)</f>
        <v>0</v>
      </c>
      <c r="P31" s="40">
        <f>IF(AND(ISNUMBER(F38),ISNUMBER(D38),F38&lt;D38),1,0)+IF(AND(ISNUMBER(D41),ISNUMBER(F41),D41&lt;F41),1,0)+IF(AND(ISNUMBER(D43),ISNUMBER(F43),D43&lt;F43),1,0)</f>
        <v>0</v>
      </c>
      <c r="Q31" s="40">
        <f>IF(ISNUMBER(F38),F38,0)+IF(ISNUMBER(D41),D41,0)+IF(ISNUMBER(D43),D43,0)</f>
        <v>0</v>
      </c>
      <c r="R31" s="40">
        <f>IF(ISNUMBER(D38),D38,0)+IF(ISNUMBER(F41),F41,0)+IF(ISNUMBER(F43),F43,0)</f>
        <v>0</v>
      </c>
      <c r="S31" s="40">
        <f>Q31-R31</f>
        <v>0</v>
      </c>
      <c r="T31" s="40">
        <f>N31*3+O31</f>
        <v>0</v>
      </c>
      <c r="U31">
        <f>T31*100000000 + (S31+100)*100000 + Q31*1000 + IFERROR(VLOOKUP(L31, RankingFIFA!$A$1:$B$48, 2, FALSE), 0) + (31/1000)</f>
        <v>10001000.030999999</v>
      </c>
    </row>
    <row r="32" spans="1:21" x14ac:dyDescent="0.25">
      <c r="C32" s="4" t="s">
        <v>52</v>
      </c>
      <c r="D32" s="42"/>
      <c r="E32" s="5" t="s">
        <v>21</v>
      </c>
      <c r="F32" s="42"/>
      <c r="G32" s="6" t="s">
        <v>56</v>
      </c>
      <c r="H32" t="str">
        <f t="shared" si="3"/>
        <v/>
      </c>
      <c r="I32" t="s">
        <v>64</v>
      </c>
      <c r="K32" s="40" t="s">
        <v>60</v>
      </c>
      <c r="L32" t="s">
        <v>65</v>
      </c>
      <c r="M32" s="40">
        <f>IF(ISNUMBER(D39),1,0)+IF(ISNUMBER(F40),1,0)+IF(ISNUMBER(F43),1,0)</f>
        <v>0</v>
      </c>
      <c r="N32" s="40">
        <f>IF(AND(ISNUMBER(D39),ISNUMBER(F39),D39&gt;F39),1,0)+IF(AND(ISNUMBER(F40),ISNUMBER(D40),F40&gt;D40),1,0)+IF(AND(ISNUMBER(F43),ISNUMBER(D43),F43&gt;D43),1,0)</f>
        <v>0</v>
      </c>
      <c r="O32" s="40">
        <f>IF(AND(ISNUMBER(D39),ISNUMBER(F39),D39=F39),1,0)+IF(AND(ISNUMBER(F40),ISNUMBER(D40),F40=D40),1,0)+IF(AND(ISNUMBER(F43),ISNUMBER(D43),F43=D43),1,0)</f>
        <v>0</v>
      </c>
      <c r="P32" s="40">
        <f>IF(AND(ISNUMBER(D39),ISNUMBER(F39),D39&lt;F39),1,0)+IF(AND(ISNUMBER(F40),ISNUMBER(D40),F40&lt;D40),1,0)+IF(AND(ISNUMBER(F43),ISNUMBER(D43),F43&lt;D43),1,0)</f>
        <v>0</v>
      </c>
      <c r="Q32" s="40">
        <f>IF(ISNUMBER(D39),D39,0)+IF(ISNUMBER(F40),F40,0)+IF(ISNUMBER(F43),F43,0)</f>
        <v>0</v>
      </c>
      <c r="R32" s="40">
        <f>IF(ISNUMBER(F39),F39,0)+IF(ISNUMBER(D40),D40,0)+IF(ISNUMBER(D43),D43,0)</f>
        <v>0</v>
      </c>
      <c r="S32" s="40">
        <f>Q32-R32</f>
        <v>0</v>
      </c>
      <c r="T32" s="40">
        <f>N32*3+O32</f>
        <v>0</v>
      </c>
      <c r="U32">
        <f>T32*100000000 + (S32+100)*100000 + Q32*1000 + IFERROR(VLOOKUP(L32, RankingFIFA!$A$1:$B$48, 2, FALSE), 0) + (32/1000)</f>
        <v>10001000.032</v>
      </c>
    </row>
    <row r="33" spans="1:21" x14ac:dyDescent="0.25">
      <c r="C33" s="4" t="s">
        <v>54</v>
      </c>
      <c r="D33" s="42"/>
      <c r="E33" s="5" t="s">
        <v>21</v>
      </c>
      <c r="F33" s="42"/>
      <c r="G33" s="6" t="s">
        <v>57</v>
      </c>
      <c r="H33" t="str">
        <f t="shared" si="3"/>
        <v/>
      </c>
      <c r="I33" t="s">
        <v>66</v>
      </c>
      <c r="K33" s="40" t="s">
        <v>60</v>
      </c>
      <c r="L33" t="s">
        <v>67</v>
      </c>
      <c r="M33" s="40">
        <f>IF(ISNUMBER(F39),1,0)+IF(ISNUMBER(F41),1,0)+IF(ISNUMBER(D42),1,0)</f>
        <v>0</v>
      </c>
      <c r="N33" s="40">
        <f>IF(AND(ISNUMBER(F39),ISNUMBER(D39),F39&gt;D39),1,0)+IF(AND(ISNUMBER(F41),ISNUMBER(D41),F41&gt;D41),1,0)+IF(AND(ISNUMBER(D42),ISNUMBER(F42),D42&gt;F42),1,0)</f>
        <v>0</v>
      </c>
      <c r="O33" s="40">
        <f>IF(AND(ISNUMBER(F39),ISNUMBER(D39),F39=D39),1,0)+IF(AND(ISNUMBER(F41),ISNUMBER(D41),F41=D41),1,0)+IF(AND(ISNUMBER(D42),ISNUMBER(F42),D42=F42),1,0)</f>
        <v>0</v>
      </c>
      <c r="P33" s="40">
        <f>IF(AND(ISNUMBER(F39),ISNUMBER(D39),F39&lt;D39),1,0)+IF(AND(ISNUMBER(F41),ISNUMBER(D41),F41&lt;D41),1,0)+IF(AND(ISNUMBER(D42),ISNUMBER(F42),D42&lt;F42),1,0)</f>
        <v>0</v>
      </c>
      <c r="Q33" s="40">
        <f>IF(ISNUMBER(F39),F39,0)+IF(ISNUMBER(F41),F41,0)+IF(ISNUMBER(D42),D42,0)</f>
        <v>0</v>
      </c>
      <c r="R33" s="40">
        <f>IF(ISNUMBER(D39),D39,0)+IF(ISNUMBER(D41),D41,0)+IF(ISNUMBER(F42),F42,0)</f>
        <v>0</v>
      </c>
      <c r="S33" s="40">
        <f>Q33-R33</f>
        <v>0</v>
      </c>
      <c r="T33" s="40">
        <f>N33*3+O33</f>
        <v>0</v>
      </c>
      <c r="U33">
        <f>T33*100000000 + (S33+100)*100000 + Q33*1000 + IFERROR(VLOOKUP(L33, RankingFIFA!$A$1:$B$48, 2, FALSE), 0) + (33/1000)</f>
        <v>10001000.033</v>
      </c>
    </row>
    <row r="34" spans="1:21" x14ac:dyDescent="0.25">
      <c r="C34" s="4" t="s">
        <v>57</v>
      </c>
      <c r="D34" s="42"/>
      <c r="E34" s="5" t="s">
        <v>21</v>
      </c>
      <c r="F34" s="42"/>
      <c r="G34" s="6" t="s">
        <v>52</v>
      </c>
      <c r="H34" t="str">
        <f t="shared" si="3"/>
        <v/>
      </c>
      <c r="I34" t="s">
        <v>68</v>
      </c>
    </row>
    <row r="35" spans="1:21" ht="18.75" customHeight="1" x14ac:dyDescent="0.25">
      <c r="C35" s="4" t="s">
        <v>54</v>
      </c>
      <c r="D35" s="42"/>
      <c r="E35" s="5" t="s">
        <v>21</v>
      </c>
      <c r="F35" s="42"/>
      <c r="G35" s="6" t="s">
        <v>56</v>
      </c>
      <c r="H35" t="str">
        <f t="shared" si="3"/>
        <v/>
      </c>
      <c r="I35" t="s">
        <v>68</v>
      </c>
      <c r="J35" s="48"/>
      <c r="K35" s="49"/>
      <c r="L35" s="49"/>
      <c r="M35" s="49"/>
      <c r="N35" s="49"/>
      <c r="O35" s="49"/>
      <c r="P35" s="49"/>
      <c r="Q35" s="49"/>
      <c r="R35" s="49"/>
      <c r="S35" s="49"/>
      <c r="T35" s="49"/>
    </row>
    <row r="36" spans="1:21" x14ac:dyDescent="0.25">
      <c r="K36" s="40" t="s">
        <v>69</v>
      </c>
      <c r="L36" t="s">
        <v>70</v>
      </c>
      <c r="M36" s="40">
        <f>IF(ISNUMBER(D46),1,0)+IF(ISNUMBER(D48),1,0)+IF(ISNUMBER(F50),1,0)</f>
        <v>0</v>
      </c>
      <c r="N36" s="40">
        <f>IF(AND(ISNUMBER(D46),ISNUMBER(F46),D46&gt;F46),1,0)+IF(AND(ISNUMBER(D48),ISNUMBER(F48),D48&gt;F48),1,0)+IF(AND(ISNUMBER(F50),ISNUMBER(D50),F50&gt;D50),1,0)</f>
        <v>0</v>
      </c>
      <c r="O36" s="40">
        <f>IF(AND(ISNUMBER(D46),ISNUMBER(F46),D46=F46),1,0)+IF(AND(ISNUMBER(D48),ISNUMBER(F48),D48=F48),1,0)+IF(AND(ISNUMBER(F50),ISNUMBER(D50),F50=D50),1,0)</f>
        <v>0</v>
      </c>
      <c r="P36" s="40">
        <f>IF(AND(ISNUMBER(D46),ISNUMBER(F46),D46&lt;F46),1,0)+IF(AND(ISNUMBER(D48),ISNUMBER(F48),D48&lt;F48),1,0)+IF(AND(ISNUMBER(F50),ISNUMBER(D50),F50&lt;D50),1,0)</f>
        <v>0</v>
      </c>
      <c r="Q36" s="40">
        <f>IF(ISNUMBER(D46),D46,0)+IF(ISNUMBER(D48),D48,0)+IF(ISNUMBER(F50),F50,0)</f>
        <v>0</v>
      </c>
      <c r="R36" s="40">
        <f>IF(ISNUMBER(F46),F46,0)+IF(ISNUMBER(F48),F48,0)+IF(ISNUMBER(D50),D50,0)</f>
        <v>0</v>
      </c>
      <c r="S36" s="40">
        <f>Q36-R36</f>
        <v>0</v>
      </c>
      <c r="T36" s="40">
        <f>N36*3+O36</f>
        <v>0</v>
      </c>
      <c r="U36">
        <f>T36*100000000 + (S36+100)*100000 + Q36*1000 + IFERROR(VLOOKUP(L36, RankingFIFA!$A$1:$B$48, 2, FALSE), 0) + (36/1000)</f>
        <v>10001000.036</v>
      </c>
    </row>
    <row r="37" spans="1:21" ht="18.75" customHeight="1" x14ac:dyDescent="0.35">
      <c r="A37" s="27" t="s">
        <v>71</v>
      </c>
      <c r="B37" s="26"/>
      <c r="C37" s="26"/>
      <c r="D37" s="41"/>
      <c r="E37" s="26"/>
      <c r="F37" s="41"/>
      <c r="G37" s="26"/>
      <c r="H37" s="26"/>
      <c r="I37" s="26"/>
      <c r="K37" s="40" t="s">
        <v>69</v>
      </c>
      <c r="L37" t="s">
        <v>72</v>
      </c>
      <c r="M37" s="40">
        <f>IF(ISNUMBER(F46),1,0)+IF(ISNUMBER(D49),1,0)+IF(ISNUMBER(D51),1,0)</f>
        <v>0</v>
      </c>
      <c r="N37" s="40">
        <f>IF(AND(ISNUMBER(F46),ISNUMBER(D46),F46&gt;D46),1,0)+IF(AND(ISNUMBER(D49),ISNUMBER(F49),D49&gt;F49),1,0)+IF(AND(ISNUMBER(D51),ISNUMBER(F51),D51&gt;F51),1,0)</f>
        <v>0</v>
      </c>
      <c r="O37" s="40">
        <f>IF(AND(ISNUMBER(F46),ISNUMBER(D46),F46=D46),1,0)+IF(AND(ISNUMBER(D49),ISNUMBER(F49),D49=F49),1,0)+IF(AND(ISNUMBER(D51),ISNUMBER(F51),D51=F51),1,0)</f>
        <v>0</v>
      </c>
      <c r="P37" s="40">
        <f>IF(AND(ISNUMBER(F46),ISNUMBER(D46),F46&lt;D46),1,0)+IF(AND(ISNUMBER(D49),ISNUMBER(F49),D49&lt;F49),1,0)+IF(AND(ISNUMBER(D51),ISNUMBER(F51),D51&lt;F51),1,0)</f>
        <v>0</v>
      </c>
      <c r="Q37" s="40">
        <f>IF(ISNUMBER(F46),F46,0)+IF(ISNUMBER(D49),D49,0)+IF(ISNUMBER(D51),D51,0)</f>
        <v>0</v>
      </c>
      <c r="R37" s="40">
        <f>IF(ISNUMBER(D46),D46,0)+IF(ISNUMBER(F49),F49,0)+IF(ISNUMBER(F51),F51,0)</f>
        <v>0</v>
      </c>
      <c r="S37" s="40">
        <f>Q37-R37</f>
        <v>0</v>
      </c>
      <c r="T37" s="40">
        <f>N37*3+O37</f>
        <v>0</v>
      </c>
      <c r="U37">
        <f>T37*100000000 + (S37+100)*100000 + Q37*1000 + IFERROR(VLOOKUP(L37, RankingFIFA!$A$1:$B$48, 2, FALSE), 0) + (37/1000)</f>
        <v>10001000.037</v>
      </c>
    </row>
    <row r="38" spans="1:21" x14ac:dyDescent="0.25">
      <c r="C38" s="4" t="s">
        <v>61</v>
      </c>
      <c r="D38" s="42"/>
      <c r="E38" s="5" t="s">
        <v>21</v>
      </c>
      <c r="F38" s="42"/>
      <c r="G38" s="6" t="s">
        <v>63</v>
      </c>
      <c r="H38" t="str">
        <f t="shared" ref="H38:H43" si="4">IF(AND(ISNUMBER(D38),ISNUMBER(F38)),"Ok","")</f>
        <v/>
      </c>
      <c r="I38" t="s">
        <v>73</v>
      </c>
      <c r="K38" s="40" t="s">
        <v>69</v>
      </c>
      <c r="L38" t="s">
        <v>74</v>
      </c>
      <c r="M38" s="40">
        <f>IF(ISNUMBER(D47),1,0)+IF(ISNUMBER(F48),1,0)+IF(ISNUMBER(F51),1,0)</f>
        <v>0</v>
      </c>
      <c r="N38" s="40">
        <f>IF(AND(ISNUMBER(D47),ISNUMBER(F47),D47&gt;F47),1,0)+IF(AND(ISNUMBER(F48),ISNUMBER(D48),F48&gt;D48),1,0)+IF(AND(ISNUMBER(F51),ISNUMBER(D51),F51&gt;D51),1,0)</f>
        <v>0</v>
      </c>
      <c r="O38" s="40">
        <f>IF(AND(ISNUMBER(D47),ISNUMBER(F47),D47=F47),1,0)+IF(AND(ISNUMBER(F48),ISNUMBER(D48),F48=D48),1,0)+IF(AND(ISNUMBER(F51),ISNUMBER(D51),F51=D51),1,0)</f>
        <v>0</v>
      </c>
      <c r="P38" s="40">
        <f>IF(AND(ISNUMBER(D47),ISNUMBER(F47),D47&lt;F47),1,0)+IF(AND(ISNUMBER(F48),ISNUMBER(D48),F48&lt;D48),1,0)+IF(AND(ISNUMBER(F51),ISNUMBER(D51),F51&lt;D51),1,0)</f>
        <v>0</v>
      </c>
      <c r="Q38" s="40">
        <f>IF(ISNUMBER(D47),D47,0)+IF(ISNUMBER(F48),F48,0)+IF(ISNUMBER(F51),F51,0)</f>
        <v>0</v>
      </c>
      <c r="R38" s="40">
        <f>IF(ISNUMBER(F47),F47,0)+IF(ISNUMBER(D48),D48,0)+IF(ISNUMBER(D51),D51,0)</f>
        <v>0</v>
      </c>
      <c r="S38" s="40">
        <f>Q38-R38</f>
        <v>0</v>
      </c>
      <c r="T38" s="40">
        <f>N38*3+O38</f>
        <v>0</v>
      </c>
      <c r="U38">
        <f>T38*100000000 + (S38+100)*100000 + Q38*1000 + IFERROR(VLOOKUP(L38, RankingFIFA!$A$1:$B$48, 2, FALSE), 0) + (38/1000)</f>
        <v>10001000.038000001</v>
      </c>
    </row>
    <row r="39" spans="1:21" x14ac:dyDescent="0.25">
      <c r="C39" s="4" t="s">
        <v>65</v>
      </c>
      <c r="D39" s="42"/>
      <c r="E39" s="5" t="s">
        <v>21</v>
      </c>
      <c r="F39" s="42"/>
      <c r="G39" s="6" t="s">
        <v>67</v>
      </c>
      <c r="H39" t="str">
        <f t="shared" si="4"/>
        <v/>
      </c>
      <c r="I39" t="s">
        <v>75</v>
      </c>
      <c r="K39" s="40" t="s">
        <v>69</v>
      </c>
      <c r="L39" t="s">
        <v>76</v>
      </c>
      <c r="M39" s="40">
        <f>IF(ISNUMBER(F47),1,0)+IF(ISNUMBER(F49),1,0)+IF(ISNUMBER(D50),1,0)</f>
        <v>0</v>
      </c>
      <c r="N39" s="40">
        <f>IF(AND(ISNUMBER(F47),ISNUMBER(D47),F47&gt;D47),1,0)+IF(AND(ISNUMBER(F49),ISNUMBER(D49),F49&gt;D49),1,0)+IF(AND(ISNUMBER(D50),ISNUMBER(F50),D50&gt;F50),1,0)</f>
        <v>0</v>
      </c>
      <c r="O39" s="40">
        <f>IF(AND(ISNUMBER(F47),ISNUMBER(D47),F47=D47),1,0)+IF(AND(ISNUMBER(F49),ISNUMBER(D49),F49=D49),1,0)+IF(AND(ISNUMBER(D50),ISNUMBER(F50),D50=F50),1,0)</f>
        <v>0</v>
      </c>
      <c r="P39" s="40">
        <f>IF(AND(ISNUMBER(F47),ISNUMBER(D47),F47&lt;D47),1,0)+IF(AND(ISNUMBER(F49),ISNUMBER(D49),F49&lt;D49),1,0)+IF(AND(ISNUMBER(D50),ISNUMBER(F50),D50&lt;F50),1,0)</f>
        <v>0</v>
      </c>
      <c r="Q39" s="40">
        <f>IF(ISNUMBER(F47),F47,0)+IF(ISNUMBER(F49),F49,0)+IF(ISNUMBER(D50),D50,0)</f>
        <v>0</v>
      </c>
      <c r="R39" s="40">
        <f>IF(ISNUMBER(D47),D47,0)+IF(ISNUMBER(D49),D49,0)+IF(ISNUMBER(F50),F50,0)</f>
        <v>0</v>
      </c>
      <c r="S39" s="40">
        <f>Q39-R39</f>
        <v>0</v>
      </c>
      <c r="T39" s="40">
        <f>N39*3+O39</f>
        <v>0</v>
      </c>
      <c r="U39">
        <f>T39*100000000 + (S39+100)*100000 + Q39*1000 + IFERROR(VLOOKUP(L39, RankingFIFA!$A$1:$B$48, 2, FALSE), 0) + (39/1000)</f>
        <v>10001000.039000001</v>
      </c>
    </row>
    <row r="40" spans="1:21" x14ac:dyDescent="0.25">
      <c r="C40" s="4" t="s">
        <v>61</v>
      </c>
      <c r="D40" s="42"/>
      <c r="E40" s="5" t="s">
        <v>21</v>
      </c>
      <c r="F40" s="42"/>
      <c r="G40" s="6" t="s">
        <v>65</v>
      </c>
      <c r="H40" t="str">
        <f t="shared" si="4"/>
        <v/>
      </c>
      <c r="I40" t="s">
        <v>77</v>
      </c>
    </row>
    <row r="41" spans="1:21" ht="18.75" customHeight="1" x14ac:dyDescent="0.25">
      <c r="C41" s="4" t="s">
        <v>63</v>
      </c>
      <c r="D41" s="42"/>
      <c r="E41" s="5" t="s">
        <v>21</v>
      </c>
      <c r="F41" s="42"/>
      <c r="G41" s="6" t="s">
        <v>67</v>
      </c>
      <c r="H41" t="str">
        <f t="shared" si="4"/>
        <v/>
      </c>
      <c r="I41" t="s">
        <v>78</v>
      </c>
      <c r="J41" s="48"/>
      <c r="K41" s="49"/>
      <c r="L41" s="49"/>
      <c r="M41" s="49"/>
      <c r="N41" s="49"/>
      <c r="O41" s="49"/>
      <c r="P41" s="49"/>
      <c r="Q41" s="49"/>
      <c r="R41" s="49"/>
      <c r="S41" s="49"/>
      <c r="T41" s="49"/>
    </row>
    <row r="42" spans="1:21" x14ac:dyDescent="0.25">
      <c r="C42" s="4" t="s">
        <v>67</v>
      </c>
      <c r="D42" s="42"/>
      <c r="E42" s="5" t="s">
        <v>21</v>
      </c>
      <c r="F42" s="42"/>
      <c r="G42" s="6" t="s">
        <v>61</v>
      </c>
      <c r="H42" t="str">
        <f t="shared" si="4"/>
        <v/>
      </c>
      <c r="I42" t="s">
        <v>79</v>
      </c>
      <c r="K42" s="40" t="s">
        <v>80</v>
      </c>
      <c r="L42" t="s">
        <v>81</v>
      </c>
      <c r="M42" s="40">
        <f>IF(ISNUMBER(D54),1,0)+IF(ISNUMBER(D56),1,0)+IF(ISNUMBER(F58),1,0)</f>
        <v>0</v>
      </c>
      <c r="N42" s="40">
        <f>IF(AND(ISNUMBER(D54),ISNUMBER(F54),D54&gt;F54),1,0)+IF(AND(ISNUMBER(D56),ISNUMBER(F56),D56&gt;F56),1,0)+IF(AND(ISNUMBER(F58),ISNUMBER(D58),F58&gt;D58),1,0)</f>
        <v>0</v>
      </c>
      <c r="O42" s="40">
        <f>IF(AND(ISNUMBER(D54),ISNUMBER(F54),D54=F54),1,0)+IF(AND(ISNUMBER(D56),ISNUMBER(F56),D56=F56),1,0)+IF(AND(ISNUMBER(F58),ISNUMBER(D58),F58=D58),1,0)</f>
        <v>0</v>
      </c>
      <c r="P42" s="40">
        <f>IF(AND(ISNUMBER(D54),ISNUMBER(F54),D54&lt;F54),1,0)+IF(AND(ISNUMBER(D56),ISNUMBER(F56),D56&lt;F56),1,0)+IF(AND(ISNUMBER(F58),ISNUMBER(D58),F58&lt;D58),1,0)</f>
        <v>0</v>
      </c>
      <c r="Q42" s="40">
        <f>IF(ISNUMBER(D54),D54,0)+IF(ISNUMBER(D56),D56,0)+IF(ISNUMBER(F58),F58,0)</f>
        <v>0</v>
      </c>
      <c r="R42" s="40">
        <f>IF(ISNUMBER(F54),F54,0)+IF(ISNUMBER(F56),F56,0)+IF(ISNUMBER(D58),D58,0)</f>
        <v>0</v>
      </c>
      <c r="S42" s="40">
        <f>Q42-R42</f>
        <v>0</v>
      </c>
      <c r="T42" s="40">
        <f>N42*3+O42</f>
        <v>0</v>
      </c>
      <c r="U42">
        <f>T42*100000000 + (S42+100)*100000 + Q42*1000 + IFERROR(VLOOKUP(L42, RankingFIFA!$A$1:$B$48, 2, FALSE), 0) + (42/1000)</f>
        <v>10001000.041999999</v>
      </c>
    </row>
    <row r="43" spans="1:21" x14ac:dyDescent="0.25">
      <c r="C43" s="4" t="s">
        <v>63</v>
      </c>
      <c r="D43" s="42"/>
      <c r="E43" s="5" t="s">
        <v>21</v>
      </c>
      <c r="F43" s="42"/>
      <c r="G43" s="6" t="s">
        <v>65</v>
      </c>
      <c r="H43" t="str">
        <f t="shared" si="4"/>
        <v/>
      </c>
      <c r="I43" t="s">
        <v>82</v>
      </c>
      <c r="K43" s="40" t="s">
        <v>80</v>
      </c>
      <c r="L43" t="s">
        <v>83</v>
      </c>
      <c r="M43" s="40">
        <f>IF(ISNUMBER(F54),1,0)+IF(ISNUMBER(D57),1,0)+IF(ISNUMBER(D59),1,0)</f>
        <v>0</v>
      </c>
      <c r="N43" s="40">
        <f>IF(AND(ISNUMBER(F54),ISNUMBER(D54),F54&gt;D54),1,0)+IF(AND(ISNUMBER(D57),ISNUMBER(F57),D57&gt;F57),1,0)+IF(AND(ISNUMBER(D59),ISNUMBER(F59),D59&gt;F59),1,0)</f>
        <v>0</v>
      </c>
      <c r="O43" s="40">
        <f>IF(AND(ISNUMBER(F54),ISNUMBER(D54),F54=D54),1,0)+IF(AND(ISNUMBER(D57),ISNUMBER(F57),D57=F57),1,0)+IF(AND(ISNUMBER(D59),ISNUMBER(F59),D59=F59),1,0)</f>
        <v>0</v>
      </c>
      <c r="P43" s="40">
        <f>IF(AND(ISNUMBER(F54),ISNUMBER(D54),F54&lt;D54),1,0)+IF(AND(ISNUMBER(D57),ISNUMBER(F57),D57&lt;F57),1,0)+IF(AND(ISNUMBER(D59),ISNUMBER(F59),D59&lt;F59),1,0)</f>
        <v>0</v>
      </c>
      <c r="Q43" s="40">
        <f>IF(ISNUMBER(F54),F54,0)+IF(ISNUMBER(D57),D57,0)+IF(ISNUMBER(D59),D59,0)</f>
        <v>0</v>
      </c>
      <c r="R43" s="40">
        <f>IF(ISNUMBER(D54),D54,0)+IF(ISNUMBER(F57),F57,0)+IF(ISNUMBER(F59),F59,0)</f>
        <v>0</v>
      </c>
      <c r="S43" s="40">
        <f>Q43-R43</f>
        <v>0</v>
      </c>
      <c r="T43" s="40">
        <f>N43*3+O43</f>
        <v>0</v>
      </c>
      <c r="U43">
        <f>T43*100000000 + (S43+100)*100000 + Q43*1000 + IFERROR(VLOOKUP(L43, RankingFIFA!$A$1:$B$48, 2, FALSE), 0) + (43/1000)</f>
        <v>10001000.043</v>
      </c>
    </row>
    <row r="44" spans="1:21" x14ac:dyDescent="0.25">
      <c r="K44" s="40" t="s">
        <v>80</v>
      </c>
      <c r="L44" t="s">
        <v>84</v>
      </c>
      <c r="M44" s="40">
        <f>IF(ISNUMBER(D55),1,0)+IF(ISNUMBER(F56),1,0)+IF(ISNUMBER(F59),1,0)</f>
        <v>0</v>
      </c>
      <c r="N44" s="40">
        <f>IF(AND(ISNUMBER(D55),ISNUMBER(F55),D55&gt;F55),1,0)+IF(AND(ISNUMBER(F56),ISNUMBER(D56),F56&gt;D56),1,0)+IF(AND(ISNUMBER(F59),ISNUMBER(D59),F59&gt;D59),1,0)</f>
        <v>0</v>
      </c>
      <c r="O44" s="40">
        <f>IF(AND(ISNUMBER(D55),ISNUMBER(F55),D55=F55),1,0)+IF(AND(ISNUMBER(F56),ISNUMBER(D56),F56=D56),1,0)+IF(AND(ISNUMBER(F59),ISNUMBER(D59),F59=D59),1,0)</f>
        <v>0</v>
      </c>
      <c r="P44" s="40">
        <f>IF(AND(ISNUMBER(D55),ISNUMBER(F55),D55&lt;F55),1,0)+IF(AND(ISNUMBER(F56),ISNUMBER(D56),F56&lt;D56),1,0)+IF(AND(ISNUMBER(F59),ISNUMBER(D59),F59&lt;D59),1,0)</f>
        <v>0</v>
      </c>
      <c r="Q44" s="40">
        <f>IF(ISNUMBER(D55),D55,0)+IF(ISNUMBER(F56),F56,0)+IF(ISNUMBER(F59),F59,0)</f>
        <v>0</v>
      </c>
      <c r="R44" s="40">
        <f>IF(ISNUMBER(F55),F55,0)+IF(ISNUMBER(D56),D56,0)+IF(ISNUMBER(D59),D59,0)</f>
        <v>0</v>
      </c>
      <c r="S44" s="40">
        <f>Q44-R44</f>
        <v>0</v>
      </c>
      <c r="T44" s="40">
        <f>N44*3+O44</f>
        <v>0</v>
      </c>
      <c r="U44">
        <f>T44*100000000 + (S44+100)*100000 + Q44*1000 + IFERROR(VLOOKUP(L44, RankingFIFA!$A$1:$B$48, 2, FALSE), 0) + (44/1000)</f>
        <v>10001000.044</v>
      </c>
    </row>
    <row r="45" spans="1:21" ht="18.75" customHeight="1" x14ac:dyDescent="0.35">
      <c r="A45" s="27" t="s">
        <v>85</v>
      </c>
      <c r="B45" s="26"/>
      <c r="C45" s="26"/>
      <c r="D45" s="41"/>
      <c r="E45" s="26"/>
      <c r="F45" s="41"/>
      <c r="G45" s="26"/>
      <c r="H45" s="26"/>
      <c r="I45" s="26"/>
      <c r="K45" s="40" t="s">
        <v>80</v>
      </c>
      <c r="L45" t="s">
        <v>86</v>
      </c>
      <c r="M45" s="40">
        <f>IF(ISNUMBER(F55),1,0)+IF(ISNUMBER(F57),1,0)+IF(ISNUMBER(D58),1,0)</f>
        <v>0</v>
      </c>
      <c r="N45" s="40">
        <f>IF(AND(ISNUMBER(F55),ISNUMBER(D55),F55&gt;D55),1,0)+IF(AND(ISNUMBER(F57),ISNUMBER(D57),F57&gt;D57),1,0)+IF(AND(ISNUMBER(D58),ISNUMBER(F58),D58&gt;F58),1,0)</f>
        <v>0</v>
      </c>
      <c r="O45" s="40">
        <f>IF(AND(ISNUMBER(F55),ISNUMBER(D55),F55=D55),1,0)+IF(AND(ISNUMBER(F57),ISNUMBER(D57),F57=D57),1,0)+IF(AND(ISNUMBER(D58),ISNUMBER(F58),D58=F58),1,0)</f>
        <v>0</v>
      </c>
      <c r="P45" s="40">
        <f>IF(AND(ISNUMBER(F55),ISNUMBER(D55),F55&lt;D55),1,0)+IF(AND(ISNUMBER(F57),ISNUMBER(D57),F57&lt;D57),1,0)+IF(AND(ISNUMBER(D58),ISNUMBER(F58),D58&lt;F58),1,0)</f>
        <v>0</v>
      </c>
      <c r="Q45" s="40">
        <f>IF(ISNUMBER(F55),F55,0)+IF(ISNUMBER(F57),F57,0)+IF(ISNUMBER(D58),D58,0)</f>
        <v>0</v>
      </c>
      <c r="R45" s="40">
        <f>IF(ISNUMBER(D55),D55,0)+IF(ISNUMBER(D57),D57,0)+IF(ISNUMBER(F58),F58,0)</f>
        <v>0</v>
      </c>
      <c r="S45" s="40">
        <f>Q45-R45</f>
        <v>0</v>
      </c>
      <c r="T45" s="40">
        <f>N45*3+O45</f>
        <v>0</v>
      </c>
      <c r="U45">
        <f>T45*100000000 + (S45+100)*100000 + Q45*1000 + IFERROR(VLOOKUP(L45, RankingFIFA!$A$1:$B$48, 2, FALSE), 0) + (45/1000)</f>
        <v>10001000.045</v>
      </c>
    </row>
    <row r="46" spans="1:21" x14ac:dyDescent="0.25">
      <c r="C46" s="4" t="s">
        <v>70</v>
      </c>
      <c r="D46" s="42"/>
      <c r="E46" s="5" t="s">
        <v>21</v>
      </c>
      <c r="F46" s="42"/>
      <c r="G46" s="6" t="s">
        <v>72</v>
      </c>
      <c r="H46" t="str">
        <f t="shared" ref="H46:H51" si="5">IF(AND(ISNUMBER(D46),ISNUMBER(F46)),"Ok","")</f>
        <v/>
      </c>
      <c r="I46" t="s">
        <v>87</v>
      </c>
    </row>
    <row r="47" spans="1:21" ht="18.75" customHeight="1" x14ac:dyDescent="0.25">
      <c r="C47" s="4" t="s">
        <v>74</v>
      </c>
      <c r="D47" s="42"/>
      <c r="E47" s="5" t="s">
        <v>21</v>
      </c>
      <c r="F47" s="42"/>
      <c r="G47" s="6" t="s">
        <v>76</v>
      </c>
      <c r="H47" t="str">
        <f t="shared" si="5"/>
        <v/>
      </c>
      <c r="I47" t="s">
        <v>88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</row>
    <row r="48" spans="1:21" x14ac:dyDescent="0.25">
      <c r="C48" s="4" t="s">
        <v>70</v>
      </c>
      <c r="D48" s="42"/>
      <c r="E48" s="5" t="s">
        <v>21</v>
      </c>
      <c r="F48" s="42"/>
      <c r="G48" s="6" t="s">
        <v>74</v>
      </c>
      <c r="H48" t="str">
        <f t="shared" si="5"/>
        <v/>
      </c>
      <c r="I48" t="s">
        <v>89</v>
      </c>
      <c r="K48" s="40" t="s">
        <v>90</v>
      </c>
      <c r="L48" t="s">
        <v>91</v>
      </c>
      <c r="M48" s="40">
        <f>IF(ISNUMBER(D62),1,0)+IF(ISNUMBER(D64),1,0)+IF(ISNUMBER(F66),1,0)</f>
        <v>0</v>
      </c>
      <c r="N48" s="40">
        <f>IF(AND(ISNUMBER(D62),ISNUMBER(F62),D62&gt;F62),1,0)+IF(AND(ISNUMBER(D64),ISNUMBER(F64),D64&gt;F64),1,0)+IF(AND(ISNUMBER(F66),ISNUMBER(D66),F66&gt;D66),1,0)</f>
        <v>0</v>
      </c>
      <c r="O48" s="40">
        <f>IF(AND(ISNUMBER(D62),ISNUMBER(F62),D62=F62),1,0)+IF(AND(ISNUMBER(D64),ISNUMBER(F64),D64=F64),1,0)+IF(AND(ISNUMBER(F66),ISNUMBER(D66),F66=D66),1,0)</f>
        <v>0</v>
      </c>
      <c r="P48" s="40">
        <f>IF(AND(ISNUMBER(D62),ISNUMBER(F62),D62&lt;F62),1,0)+IF(AND(ISNUMBER(D64),ISNUMBER(F64),D64&lt;F64),1,0)+IF(AND(ISNUMBER(F66),ISNUMBER(D66),F66&lt;D66),1,0)</f>
        <v>0</v>
      </c>
      <c r="Q48" s="40">
        <f>IF(ISNUMBER(D62),D62,0)+IF(ISNUMBER(D64),D64,0)+IF(ISNUMBER(F66),F66,0)</f>
        <v>0</v>
      </c>
      <c r="R48" s="40">
        <f>IF(ISNUMBER(F62),F62,0)+IF(ISNUMBER(F64),F64,0)+IF(ISNUMBER(D66),D66,0)</f>
        <v>0</v>
      </c>
      <c r="S48" s="40">
        <f>Q48-R48</f>
        <v>0</v>
      </c>
      <c r="T48" s="40">
        <f>N48*3+O48</f>
        <v>0</v>
      </c>
      <c r="U48">
        <f>T48*100000000 + (S48+100)*100000 + Q48*1000 + IFERROR(VLOOKUP(L48, RankingFIFA!$A$1:$B$48, 2, FALSE), 0) + (48/1000)</f>
        <v>10001000.048</v>
      </c>
    </row>
    <row r="49" spans="1:21" x14ac:dyDescent="0.25">
      <c r="C49" s="4" t="s">
        <v>72</v>
      </c>
      <c r="D49" s="42"/>
      <c r="E49" s="5" t="s">
        <v>21</v>
      </c>
      <c r="F49" s="42"/>
      <c r="G49" s="6" t="s">
        <v>76</v>
      </c>
      <c r="H49" t="str">
        <f t="shared" si="5"/>
        <v/>
      </c>
      <c r="I49" t="s">
        <v>92</v>
      </c>
      <c r="K49" s="40" t="s">
        <v>90</v>
      </c>
      <c r="L49" t="s">
        <v>93</v>
      </c>
      <c r="M49" s="40">
        <f>IF(ISNUMBER(F62),1,0)+IF(ISNUMBER(D65),1,0)+IF(ISNUMBER(D67),1,0)</f>
        <v>0</v>
      </c>
      <c r="N49" s="40">
        <f>IF(AND(ISNUMBER(F62),ISNUMBER(D62),F62&gt;D62),1,0)+IF(AND(ISNUMBER(D65),ISNUMBER(F65),D65&gt;F65),1,0)+IF(AND(ISNUMBER(D67),ISNUMBER(F67),D67&gt;F67),1,0)</f>
        <v>0</v>
      </c>
      <c r="O49" s="40">
        <f>IF(AND(ISNUMBER(F62),ISNUMBER(D62),F62=D62),1,0)+IF(AND(ISNUMBER(D65),ISNUMBER(F65),D65=F65),1,0)+IF(AND(ISNUMBER(D67),ISNUMBER(F67),D67=F67),1,0)</f>
        <v>0</v>
      </c>
      <c r="P49" s="40">
        <f>IF(AND(ISNUMBER(F62),ISNUMBER(D62),F62&lt;D62),1,0)+IF(AND(ISNUMBER(D65),ISNUMBER(F65),D65&lt;F65),1,0)+IF(AND(ISNUMBER(D67),ISNUMBER(F67),D67&lt;F67),1,0)</f>
        <v>0</v>
      </c>
      <c r="Q49" s="40">
        <f>IF(ISNUMBER(F62),F62,0)+IF(ISNUMBER(D65),D65,0)+IF(ISNUMBER(D67),D67,0)</f>
        <v>0</v>
      </c>
      <c r="R49" s="40">
        <f>IF(ISNUMBER(D62),D62,0)+IF(ISNUMBER(F65),F65,0)+IF(ISNUMBER(F67),F67,0)</f>
        <v>0</v>
      </c>
      <c r="S49" s="40">
        <f>Q49-R49</f>
        <v>0</v>
      </c>
      <c r="T49" s="40">
        <f>N49*3+O49</f>
        <v>0</v>
      </c>
      <c r="U49">
        <f>T49*100000000 + (S49+100)*100000 + Q49*1000 + IFERROR(VLOOKUP(L49, RankingFIFA!$A$1:$B$48, 2, FALSE), 0) + (49/1000)</f>
        <v>10001000.049000001</v>
      </c>
    </row>
    <row r="50" spans="1:21" x14ac:dyDescent="0.25">
      <c r="C50" s="4" t="s">
        <v>76</v>
      </c>
      <c r="D50" s="42"/>
      <c r="E50" s="5" t="s">
        <v>21</v>
      </c>
      <c r="F50" s="42"/>
      <c r="G50" s="6" t="s">
        <v>70</v>
      </c>
      <c r="H50" t="str">
        <f t="shared" si="5"/>
        <v/>
      </c>
      <c r="I50" t="s">
        <v>94</v>
      </c>
      <c r="K50" s="40" t="s">
        <v>90</v>
      </c>
      <c r="L50" t="s">
        <v>95</v>
      </c>
      <c r="M50" s="40">
        <f>IF(ISNUMBER(D63),1,0)+IF(ISNUMBER(F64),1,0)+IF(ISNUMBER(F67),1,0)</f>
        <v>0</v>
      </c>
      <c r="N50" s="40">
        <f>IF(AND(ISNUMBER(D63),ISNUMBER(F63),D63&gt;F63),1,0)+IF(AND(ISNUMBER(F64),ISNUMBER(D64),F64&gt;D64),1,0)+IF(AND(ISNUMBER(F67),ISNUMBER(D67),F67&gt;D67),1,0)</f>
        <v>0</v>
      </c>
      <c r="O50" s="40">
        <f>IF(AND(ISNUMBER(D63),ISNUMBER(F63),D63=F63),1,0)+IF(AND(ISNUMBER(F64),ISNUMBER(D64),F64=D64),1,0)+IF(AND(ISNUMBER(F67),ISNUMBER(D67),F67=D67),1,0)</f>
        <v>0</v>
      </c>
      <c r="P50" s="40">
        <f>IF(AND(ISNUMBER(D63),ISNUMBER(F63),D63&lt;F63),1,0)+IF(AND(ISNUMBER(F64),ISNUMBER(D64),F64&lt;D64),1,0)+IF(AND(ISNUMBER(F67),ISNUMBER(D67),F67&lt;D67),1,0)</f>
        <v>0</v>
      </c>
      <c r="Q50" s="40">
        <f>IF(ISNUMBER(D63),D63,0)+IF(ISNUMBER(F64),F64,0)+IF(ISNUMBER(F67),F67,0)</f>
        <v>0</v>
      </c>
      <c r="R50" s="40">
        <f>IF(ISNUMBER(F63),F63,0)+IF(ISNUMBER(D64),D64,0)+IF(ISNUMBER(D67),D67,0)</f>
        <v>0</v>
      </c>
      <c r="S50" s="40">
        <f>Q50-R50</f>
        <v>0</v>
      </c>
      <c r="T50" s="40">
        <f>N50*3+O50</f>
        <v>0</v>
      </c>
      <c r="U50">
        <f>T50*100000000 + (S50+100)*100000 + Q50*1000 + IFERROR(VLOOKUP(L50, RankingFIFA!$A$1:$B$48, 2, FALSE), 0) + (50/1000)</f>
        <v>10001000.050000001</v>
      </c>
    </row>
    <row r="51" spans="1:21" x14ac:dyDescent="0.25">
      <c r="C51" s="4" t="s">
        <v>72</v>
      </c>
      <c r="D51" s="42"/>
      <c r="E51" s="5" t="s">
        <v>21</v>
      </c>
      <c r="F51" s="42"/>
      <c r="G51" s="6" t="s">
        <v>74</v>
      </c>
      <c r="H51" t="str">
        <f t="shared" si="5"/>
        <v/>
      </c>
      <c r="I51" t="s">
        <v>94</v>
      </c>
      <c r="K51" s="40" t="s">
        <v>90</v>
      </c>
      <c r="L51" t="s">
        <v>96</v>
      </c>
      <c r="M51" s="40">
        <f>IF(ISNUMBER(F63),1,0)+IF(ISNUMBER(F65),1,0)+IF(ISNUMBER(D66),1,0)</f>
        <v>0</v>
      </c>
      <c r="N51" s="40">
        <f>IF(AND(ISNUMBER(F63),ISNUMBER(D63),F63&gt;D63),1,0)+IF(AND(ISNUMBER(F65),ISNUMBER(D65),F65&gt;D65),1,0)+IF(AND(ISNUMBER(D66),ISNUMBER(F66),D66&gt;F66),1,0)</f>
        <v>0</v>
      </c>
      <c r="O51" s="40">
        <f>IF(AND(ISNUMBER(F63),ISNUMBER(D63),F63=D63),1,0)+IF(AND(ISNUMBER(F65),ISNUMBER(D65),F65=D65),1,0)+IF(AND(ISNUMBER(D66),ISNUMBER(F66),D66=F66),1,0)</f>
        <v>0</v>
      </c>
      <c r="P51" s="40">
        <f>IF(AND(ISNUMBER(F63),ISNUMBER(D63),F63&lt;D63),1,0)+IF(AND(ISNUMBER(F65),ISNUMBER(D65),F65&lt;D65),1,0)+IF(AND(ISNUMBER(D66),ISNUMBER(F66),D66&lt;F66),1,0)</f>
        <v>0</v>
      </c>
      <c r="Q51" s="40">
        <f>IF(ISNUMBER(F63),F63,0)+IF(ISNUMBER(F65),F65,0)+IF(ISNUMBER(D66),D66,0)</f>
        <v>0</v>
      </c>
      <c r="R51" s="40">
        <f>IF(ISNUMBER(D63),D63,0)+IF(ISNUMBER(D65),D65,0)+IF(ISNUMBER(F66),F66,0)</f>
        <v>0</v>
      </c>
      <c r="S51" s="40">
        <f>Q51-R51</f>
        <v>0</v>
      </c>
      <c r="T51" s="40">
        <f>N51*3+O51</f>
        <v>0</v>
      </c>
      <c r="U51">
        <f>T51*100000000 + (S51+100)*100000 + Q51*1000 + IFERROR(VLOOKUP(L51, RankingFIFA!$A$1:$B$48, 2, FALSE), 0) + (51/1000)</f>
        <v>10001000.051000001</v>
      </c>
    </row>
    <row r="53" spans="1:21" ht="18.75" customHeight="1" x14ac:dyDescent="0.35">
      <c r="A53" s="27" t="s">
        <v>97</v>
      </c>
      <c r="B53" s="26"/>
      <c r="C53" s="26"/>
      <c r="D53" s="41"/>
      <c r="E53" s="26"/>
      <c r="F53" s="41"/>
      <c r="G53" s="26"/>
      <c r="H53" s="26"/>
      <c r="I53" s="26"/>
      <c r="J53" s="48"/>
      <c r="K53" s="49"/>
      <c r="L53" s="49"/>
      <c r="M53" s="49"/>
      <c r="N53" s="49"/>
      <c r="O53" s="49"/>
      <c r="P53" s="49"/>
      <c r="Q53" s="49"/>
      <c r="R53" s="49"/>
      <c r="S53" s="49"/>
      <c r="T53" s="49"/>
    </row>
    <row r="54" spans="1:21" x14ac:dyDescent="0.25">
      <c r="C54" s="4" t="s">
        <v>81</v>
      </c>
      <c r="D54" s="42"/>
      <c r="E54" s="5" t="s">
        <v>21</v>
      </c>
      <c r="F54" s="42"/>
      <c r="G54" s="6" t="s">
        <v>83</v>
      </c>
      <c r="H54" t="str">
        <f t="shared" ref="H54:H59" si="6">IF(AND(ISNUMBER(D54),ISNUMBER(F54)),"Ok","")</f>
        <v/>
      </c>
      <c r="I54" t="s">
        <v>98</v>
      </c>
      <c r="K54" s="40" t="s">
        <v>99</v>
      </c>
      <c r="L54" t="s">
        <v>100</v>
      </c>
      <c r="M54" s="40">
        <f>IF(ISNUMBER(D70),1,0)+IF(ISNUMBER(D72),1,0)+IF(ISNUMBER(F74),1,0)</f>
        <v>0</v>
      </c>
      <c r="N54" s="40">
        <f>IF(AND(ISNUMBER(D70),ISNUMBER(F70),D70&gt;F70),1,0)+IF(AND(ISNUMBER(D72),ISNUMBER(F72),D72&gt;F72),1,0)+IF(AND(ISNUMBER(F74),ISNUMBER(D74),F74&gt;D74),1,0)</f>
        <v>0</v>
      </c>
      <c r="O54" s="40">
        <f>IF(AND(ISNUMBER(D70),ISNUMBER(F70),D70=F70),1,0)+IF(AND(ISNUMBER(D72),ISNUMBER(F72),D72=F72),1,0)+IF(AND(ISNUMBER(F74),ISNUMBER(D74),F74=D74),1,0)</f>
        <v>0</v>
      </c>
      <c r="P54" s="40">
        <f>IF(AND(ISNUMBER(D70),ISNUMBER(F70),D70&lt;F70),1,0)+IF(AND(ISNUMBER(D72),ISNUMBER(F72),D72&lt;F72),1,0)+IF(AND(ISNUMBER(F74),ISNUMBER(D74),F74&lt;D74),1,0)</f>
        <v>0</v>
      </c>
      <c r="Q54" s="40">
        <f>IF(ISNUMBER(D70),D70,0)+IF(ISNUMBER(D72),D72,0)+IF(ISNUMBER(F74),F74,0)</f>
        <v>0</v>
      </c>
      <c r="R54" s="40">
        <f>IF(ISNUMBER(F70),F70,0)+IF(ISNUMBER(F72),F72,0)+IF(ISNUMBER(D74),D74,0)</f>
        <v>0</v>
      </c>
      <c r="S54" s="40">
        <f>Q54-R54</f>
        <v>0</v>
      </c>
      <c r="T54" s="40">
        <f>N54*3+O54</f>
        <v>0</v>
      </c>
      <c r="U54">
        <f>T54*100000000 + (S54+100)*100000 + Q54*1000 + IFERROR(VLOOKUP(L54, RankingFIFA!$A$1:$B$48, 2, FALSE), 0) + (54/1000)</f>
        <v>10001000.054</v>
      </c>
    </row>
    <row r="55" spans="1:21" x14ac:dyDescent="0.25">
      <c r="C55" s="4" t="s">
        <v>84</v>
      </c>
      <c r="D55" s="42"/>
      <c r="E55" s="5" t="s">
        <v>21</v>
      </c>
      <c r="F55" s="42"/>
      <c r="G55" s="6" t="s">
        <v>86</v>
      </c>
      <c r="H55" t="str">
        <f t="shared" si="6"/>
        <v/>
      </c>
      <c r="I55" t="s">
        <v>101</v>
      </c>
      <c r="K55" s="40" t="s">
        <v>99</v>
      </c>
      <c r="L55" t="s">
        <v>102</v>
      </c>
      <c r="M55" s="40">
        <f>IF(ISNUMBER(F70),1,0)+IF(ISNUMBER(D73),1,0)+IF(ISNUMBER(D75),1,0)</f>
        <v>0</v>
      </c>
      <c r="N55" s="40">
        <f>IF(AND(ISNUMBER(F70),ISNUMBER(D70),F70&gt;D70),1,0)+IF(AND(ISNUMBER(D73),ISNUMBER(F73),D73&gt;F73),1,0)+IF(AND(ISNUMBER(D75),ISNUMBER(F75),D75&gt;F75),1,0)</f>
        <v>0</v>
      </c>
      <c r="O55" s="40">
        <f>IF(AND(ISNUMBER(F70),ISNUMBER(D70),F70=D70),1,0)+IF(AND(ISNUMBER(D73),ISNUMBER(F73),D73=F73),1,0)+IF(AND(ISNUMBER(D75),ISNUMBER(F75),D75=F75),1,0)</f>
        <v>0</v>
      </c>
      <c r="P55" s="40">
        <f>IF(AND(ISNUMBER(F70),ISNUMBER(D70),F70&lt;D70),1,0)+IF(AND(ISNUMBER(D73),ISNUMBER(F73),D73&lt;F73),1,0)+IF(AND(ISNUMBER(D75),ISNUMBER(F75),D75&lt;F75),1,0)</f>
        <v>0</v>
      </c>
      <c r="Q55" s="40">
        <f>IF(ISNUMBER(F70),F70,0)+IF(ISNUMBER(D73),D73,0)+IF(ISNUMBER(D75),D75,0)</f>
        <v>0</v>
      </c>
      <c r="R55" s="40">
        <f>IF(ISNUMBER(D70),D70,0)+IF(ISNUMBER(F73),F73,0)+IF(ISNUMBER(F75),F75,0)</f>
        <v>0</v>
      </c>
      <c r="S55" s="40">
        <f>Q55-R55</f>
        <v>0</v>
      </c>
      <c r="T55" s="40">
        <f>N55*3+O55</f>
        <v>0</v>
      </c>
      <c r="U55">
        <f>T55*100000000 + (S55+100)*100000 + Q55*1000 + IFERROR(VLOOKUP(L55, RankingFIFA!$A$1:$B$48, 2, FALSE), 0) + (55/1000)</f>
        <v>10001000.055</v>
      </c>
    </row>
    <row r="56" spans="1:21" x14ac:dyDescent="0.25">
      <c r="C56" s="4" t="s">
        <v>81</v>
      </c>
      <c r="D56" s="42"/>
      <c r="E56" s="5" t="s">
        <v>21</v>
      </c>
      <c r="F56" s="42"/>
      <c r="G56" s="6" t="s">
        <v>84</v>
      </c>
      <c r="H56" t="str">
        <f t="shared" si="6"/>
        <v/>
      </c>
      <c r="I56" t="s">
        <v>103</v>
      </c>
      <c r="K56" s="40" t="s">
        <v>99</v>
      </c>
      <c r="L56" t="s">
        <v>104</v>
      </c>
      <c r="M56" s="40">
        <f>IF(ISNUMBER(D71),1,0)+IF(ISNUMBER(F72),1,0)+IF(ISNUMBER(F75),1,0)</f>
        <v>0</v>
      </c>
      <c r="N56" s="40">
        <f>IF(AND(ISNUMBER(D71),ISNUMBER(F71),D71&gt;F71),1,0)+IF(AND(ISNUMBER(F72),ISNUMBER(D72),F72&gt;D72),1,0)+IF(AND(ISNUMBER(F75),ISNUMBER(D75),F75&gt;D75),1,0)</f>
        <v>0</v>
      </c>
      <c r="O56" s="40">
        <f>IF(AND(ISNUMBER(D71),ISNUMBER(F71),D71=F71),1,0)+IF(AND(ISNUMBER(F72),ISNUMBER(D72),F72=D72),1,0)+IF(AND(ISNUMBER(F75),ISNUMBER(D75),F75=D75),1,0)</f>
        <v>0</v>
      </c>
      <c r="P56" s="40">
        <f>IF(AND(ISNUMBER(D71),ISNUMBER(F71),D71&lt;F71),1,0)+IF(AND(ISNUMBER(F72),ISNUMBER(D72),F72&lt;D72),1,0)+IF(AND(ISNUMBER(F75),ISNUMBER(D75),F75&lt;D75),1,0)</f>
        <v>0</v>
      </c>
      <c r="Q56" s="40">
        <f>IF(ISNUMBER(D71),D71,0)+IF(ISNUMBER(F72),F72,0)+IF(ISNUMBER(F75),F75,0)</f>
        <v>0</v>
      </c>
      <c r="R56" s="40">
        <f>IF(ISNUMBER(F71),F71,0)+IF(ISNUMBER(D72),D72,0)+IF(ISNUMBER(D75),D75,0)</f>
        <v>0</v>
      </c>
      <c r="S56" s="40">
        <f>Q56-R56</f>
        <v>0</v>
      </c>
      <c r="T56" s="40">
        <f>N56*3+O56</f>
        <v>0</v>
      </c>
      <c r="U56">
        <f>T56*100000000 + (S56+100)*100000 + Q56*1000 + IFERROR(VLOOKUP(L56, RankingFIFA!$A$1:$B$48, 2, FALSE), 0) + (56/1000)</f>
        <v>10001000.056</v>
      </c>
    </row>
    <row r="57" spans="1:21" x14ac:dyDescent="0.25">
      <c r="C57" s="4" t="s">
        <v>83</v>
      </c>
      <c r="D57" s="42"/>
      <c r="E57" s="5" t="s">
        <v>21</v>
      </c>
      <c r="F57" s="42"/>
      <c r="G57" s="6" t="s">
        <v>86</v>
      </c>
      <c r="H57" t="str">
        <f t="shared" si="6"/>
        <v/>
      </c>
      <c r="I57" t="s">
        <v>105</v>
      </c>
      <c r="K57" s="40" t="s">
        <v>99</v>
      </c>
      <c r="L57" t="s">
        <v>106</v>
      </c>
      <c r="M57" s="40">
        <f>IF(ISNUMBER(F71),1,0)+IF(ISNUMBER(F73),1,0)+IF(ISNUMBER(D74),1,0)</f>
        <v>0</v>
      </c>
      <c r="N57" s="40">
        <f>IF(AND(ISNUMBER(F71),ISNUMBER(D71),F71&gt;D71),1,0)+IF(AND(ISNUMBER(F73),ISNUMBER(D73),F73&gt;D73),1,0)+IF(AND(ISNUMBER(D74),ISNUMBER(F74),D74&gt;F74),1,0)</f>
        <v>0</v>
      </c>
      <c r="O57" s="40">
        <f>IF(AND(ISNUMBER(F71),ISNUMBER(D71),F71=D71),1,0)+IF(AND(ISNUMBER(F73),ISNUMBER(D73),F73=D73),1,0)+IF(AND(ISNUMBER(D74),ISNUMBER(F74),D74=F74),1,0)</f>
        <v>0</v>
      </c>
      <c r="P57" s="40">
        <f>IF(AND(ISNUMBER(F71),ISNUMBER(D71),F71&lt;D71),1,0)+IF(AND(ISNUMBER(F73),ISNUMBER(D73),F73&lt;D73),1,0)+IF(AND(ISNUMBER(D74),ISNUMBER(F74),D74&lt;F74),1,0)</f>
        <v>0</v>
      </c>
      <c r="Q57" s="40">
        <f>IF(ISNUMBER(F71),F71,0)+IF(ISNUMBER(F73),F73,0)+IF(ISNUMBER(D74),D74,0)</f>
        <v>0</v>
      </c>
      <c r="R57" s="40">
        <f>IF(ISNUMBER(D71),D71,0)+IF(ISNUMBER(D73),D73,0)+IF(ISNUMBER(F74),F74,0)</f>
        <v>0</v>
      </c>
      <c r="S57" s="40">
        <f>Q57-R57</f>
        <v>0</v>
      </c>
      <c r="T57" s="40">
        <f>N57*3+O57</f>
        <v>0</v>
      </c>
      <c r="U57">
        <f>T57*100000000 + (S57+100)*100000 + Q57*1000 + IFERROR(VLOOKUP(L57, RankingFIFA!$A$1:$B$48, 2, FALSE), 0) + (57/1000)</f>
        <v>10001000.057</v>
      </c>
    </row>
    <row r="58" spans="1:21" x14ac:dyDescent="0.25">
      <c r="C58" s="4" t="s">
        <v>86</v>
      </c>
      <c r="D58" s="42"/>
      <c r="E58" s="5" t="s">
        <v>21</v>
      </c>
      <c r="F58" s="42"/>
      <c r="G58" s="6" t="s">
        <v>81</v>
      </c>
      <c r="H58" t="str">
        <f t="shared" si="6"/>
        <v/>
      </c>
      <c r="I58" t="s">
        <v>107</v>
      </c>
    </row>
    <row r="59" spans="1:21" ht="18.75" customHeight="1" x14ac:dyDescent="0.25">
      <c r="C59" s="4" t="s">
        <v>83</v>
      </c>
      <c r="D59" s="42"/>
      <c r="E59" s="5" t="s">
        <v>21</v>
      </c>
      <c r="F59" s="42"/>
      <c r="G59" s="6" t="s">
        <v>84</v>
      </c>
      <c r="H59" t="str">
        <f t="shared" si="6"/>
        <v/>
      </c>
      <c r="I59" t="s">
        <v>107</v>
      </c>
      <c r="J59" s="48"/>
      <c r="K59" s="49"/>
      <c r="L59" s="49"/>
      <c r="M59" s="49"/>
      <c r="N59" s="49"/>
      <c r="O59" s="49"/>
      <c r="P59" s="49"/>
      <c r="Q59" s="49"/>
      <c r="R59" s="49"/>
      <c r="S59" s="49"/>
      <c r="T59" s="49"/>
    </row>
    <row r="60" spans="1:21" x14ac:dyDescent="0.25">
      <c r="K60" s="40" t="s">
        <v>108</v>
      </c>
      <c r="L60" t="s">
        <v>109</v>
      </c>
      <c r="M60" s="40">
        <f>IF(ISNUMBER(D78),1,0)+IF(ISNUMBER(D80),1,0)+IF(ISNUMBER(F82),1,0)</f>
        <v>0</v>
      </c>
      <c r="N60" s="40">
        <f>IF(AND(ISNUMBER(D78),ISNUMBER(F78),D78&gt;F78),1,0)+IF(AND(ISNUMBER(D80),ISNUMBER(F80),D80&gt;F80),1,0)+IF(AND(ISNUMBER(F82),ISNUMBER(D82),F82&gt;D82),1,0)</f>
        <v>0</v>
      </c>
      <c r="O60" s="40">
        <f>IF(AND(ISNUMBER(D78),ISNUMBER(F78),D78=F78),1,0)+IF(AND(ISNUMBER(D80),ISNUMBER(F80),D80=F80),1,0)+IF(AND(ISNUMBER(F82),ISNUMBER(D82),F82=D82),1,0)</f>
        <v>0</v>
      </c>
      <c r="P60" s="40">
        <f>IF(AND(ISNUMBER(D78),ISNUMBER(F78),D78&lt;F78),1,0)+IF(AND(ISNUMBER(D80),ISNUMBER(F80),D80&lt;F80),1,0)+IF(AND(ISNUMBER(F82),ISNUMBER(D82),F82&lt;D82),1,0)</f>
        <v>0</v>
      </c>
      <c r="Q60" s="40">
        <f>IF(ISNUMBER(D78),D78,0)+IF(ISNUMBER(D80),D80,0)+IF(ISNUMBER(F82),F82,0)</f>
        <v>0</v>
      </c>
      <c r="R60" s="40">
        <f>IF(ISNUMBER(F78),F78,0)+IF(ISNUMBER(F80),F80,0)+IF(ISNUMBER(D82),D82,0)</f>
        <v>0</v>
      </c>
      <c r="S60" s="40">
        <f>Q60-R60</f>
        <v>0</v>
      </c>
      <c r="T60" s="40">
        <f>N60*3+O60</f>
        <v>0</v>
      </c>
      <c r="U60">
        <f>T60*100000000 + (S60+100)*100000 + Q60*1000 + IFERROR(VLOOKUP(L60, RankingFIFA!$A$1:$B$48, 2, FALSE), 0) + (60/1000)</f>
        <v>10001000.060000001</v>
      </c>
    </row>
    <row r="61" spans="1:21" ht="18.75" customHeight="1" x14ac:dyDescent="0.35">
      <c r="A61" s="27" t="s">
        <v>110</v>
      </c>
      <c r="B61" s="26"/>
      <c r="C61" s="26"/>
      <c r="D61" s="41"/>
      <c r="E61" s="26"/>
      <c r="F61" s="41"/>
      <c r="G61" s="26"/>
      <c r="H61" s="26"/>
      <c r="I61" s="26"/>
      <c r="K61" s="40" t="s">
        <v>108</v>
      </c>
      <c r="L61" t="s">
        <v>111</v>
      </c>
      <c r="M61" s="40">
        <f>IF(ISNUMBER(F78),1,0)+IF(ISNUMBER(D81),1,0)+IF(ISNUMBER(D83),1,0)</f>
        <v>0</v>
      </c>
      <c r="N61" s="40">
        <f>IF(AND(ISNUMBER(F78),ISNUMBER(D78),F78&gt;D78),1,0)+IF(AND(ISNUMBER(D81),ISNUMBER(F81),D81&gt;F81),1,0)+IF(AND(ISNUMBER(D83),ISNUMBER(F83),D83&gt;F83),1,0)</f>
        <v>0</v>
      </c>
      <c r="O61" s="40">
        <f>IF(AND(ISNUMBER(F78),ISNUMBER(D78),F78=D78),1,0)+IF(AND(ISNUMBER(D81),ISNUMBER(F81),D81=F81),1,0)+IF(AND(ISNUMBER(D83),ISNUMBER(F83),D83=F83),1,0)</f>
        <v>0</v>
      </c>
      <c r="P61" s="40">
        <f>IF(AND(ISNUMBER(F78),ISNUMBER(D78),F78&lt;D78),1,0)+IF(AND(ISNUMBER(D81),ISNUMBER(F81),D81&lt;F81),1,0)+IF(AND(ISNUMBER(D83),ISNUMBER(F83),D83&lt;F83),1,0)</f>
        <v>0</v>
      </c>
      <c r="Q61" s="40">
        <f>IF(ISNUMBER(F78),F78,0)+IF(ISNUMBER(D81),D81,0)+IF(ISNUMBER(D83),D83,0)</f>
        <v>0</v>
      </c>
      <c r="R61" s="40">
        <f>IF(ISNUMBER(D78),D78,0)+IF(ISNUMBER(F81),F81,0)+IF(ISNUMBER(F83),F83,0)</f>
        <v>0</v>
      </c>
      <c r="S61" s="40">
        <f>Q61-R61</f>
        <v>0</v>
      </c>
      <c r="T61" s="40">
        <f>N61*3+O61</f>
        <v>0</v>
      </c>
      <c r="U61">
        <f>T61*100000000 + (S61+100)*100000 + Q61*1000 + IFERROR(VLOOKUP(L61, RankingFIFA!$A$1:$B$48, 2, FALSE), 0) + (61/1000)</f>
        <v>10001000.061000001</v>
      </c>
    </row>
    <row r="62" spans="1:21" x14ac:dyDescent="0.25">
      <c r="C62" s="4" t="s">
        <v>91</v>
      </c>
      <c r="D62" s="42"/>
      <c r="E62" s="5" t="s">
        <v>21</v>
      </c>
      <c r="F62" s="42"/>
      <c r="G62" s="6" t="s">
        <v>93</v>
      </c>
      <c r="H62" t="str">
        <f t="shared" ref="H62:H67" si="7">IF(AND(ISNUMBER(D62),ISNUMBER(F62)),"Ok","")</f>
        <v/>
      </c>
      <c r="I62" t="s">
        <v>112</v>
      </c>
      <c r="K62" s="40" t="s">
        <v>108</v>
      </c>
      <c r="L62" t="s">
        <v>113</v>
      </c>
      <c r="M62" s="40">
        <f>IF(ISNUMBER(D79),1,0)+IF(ISNUMBER(F80),1,0)+IF(ISNUMBER(F83),1,0)</f>
        <v>0</v>
      </c>
      <c r="N62" s="40">
        <f>IF(AND(ISNUMBER(D79),ISNUMBER(F79),D79&gt;F79),1,0)+IF(AND(ISNUMBER(F80),ISNUMBER(D80),F80&gt;D80),1,0)+IF(AND(ISNUMBER(F83),ISNUMBER(D83),F83&gt;D83),1,0)</f>
        <v>0</v>
      </c>
      <c r="O62" s="40">
        <f>IF(AND(ISNUMBER(D79),ISNUMBER(F79),D79=F79),1,0)+IF(AND(ISNUMBER(F80),ISNUMBER(D80),F80=D80),1,0)+IF(AND(ISNUMBER(F83),ISNUMBER(D83),F83=D83),1,0)</f>
        <v>0</v>
      </c>
      <c r="P62" s="40">
        <f>IF(AND(ISNUMBER(D79),ISNUMBER(F79),D79&lt;F79),1,0)+IF(AND(ISNUMBER(F80),ISNUMBER(D80),F80&lt;D80),1,0)+IF(AND(ISNUMBER(F83),ISNUMBER(D83),F83&lt;D83),1,0)</f>
        <v>0</v>
      </c>
      <c r="Q62" s="40">
        <f>IF(ISNUMBER(D79),D79,0)+IF(ISNUMBER(F80),F80,0)+IF(ISNUMBER(F83),F83,0)</f>
        <v>0</v>
      </c>
      <c r="R62" s="40">
        <f>IF(ISNUMBER(F79),F79,0)+IF(ISNUMBER(D80),D80,0)+IF(ISNUMBER(D83),D83,0)</f>
        <v>0</v>
      </c>
      <c r="S62" s="40">
        <f>Q62-R62</f>
        <v>0</v>
      </c>
      <c r="T62" s="40">
        <f>N62*3+O62</f>
        <v>0</v>
      </c>
      <c r="U62">
        <f>T62*100000000 + (S62+100)*100000 + Q62*1000 + IFERROR(VLOOKUP(L62, RankingFIFA!$A$1:$B$48, 2, FALSE), 0) + (62/1000)</f>
        <v>10001000.062000001</v>
      </c>
    </row>
    <row r="63" spans="1:21" x14ac:dyDescent="0.25">
      <c r="C63" s="4" t="s">
        <v>95</v>
      </c>
      <c r="D63" s="42"/>
      <c r="E63" s="5" t="s">
        <v>21</v>
      </c>
      <c r="F63" s="42"/>
      <c r="G63" s="6" t="s">
        <v>96</v>
      </c>
      <c r="H63" t="str">
        <f t="shared" si="7"/>
        <v/>
      </c>
      <c r="I63" t="s">
        <v>114</v>
      </c>
      <c r="K63" s="40" t="s">
        <v>108</v>
      </c>
      <c r="L63" t="s">
        <v>115</v>
      </c>
      <c r="M63" s="40">
        <f>IF(ISNUMBER(F79),1,0)+IF(ISNUMBER(F81),1,0)+IF(ISNUMBER(D82),1,0)</f>
        <v>0</v>
      </c>
      <c r="N63" s="40">
        <f>IF(AND(ISNUMBER(F79),ISNUMBER(D79),F79&gt;D79),1,0)+IF(AND(ISNUMBER(F81),ISNUMBER(D81),F81&gt;D81),1,0)+IF(AND(ISNUMBER(D82),ISNUMBER(F82),D82&gt;F82),1,0)</f>
        <v>0</v>
      </c>
      <c r="O63" s="40">
        <f>IF(AND(ISNUMBER(F79),ISNUMBER(D79),F79=D79),1,0)+IF(AND(ISNUMBER(F81),ISNUMBER(D81),F81=D81),1,0)+IF(AND(ISNUMBER(D82),ISNUMBER(F82),D82=F82),1,0)</f>
        <v>0</v>
      </c>
      <c r="P63" s="40">
        <f>IF(AND(ISNUMBER(F79),ISNUMBER(D79),F79&lt;D79),1,0)+IF(AND(ISNUMBER(F81),ISNUMBER(D81),F81&lt;D81),1,0)+IF(AND(ISNUMBER(D82),ISNUMBER(F82),D82&lt;F82),1,0)</f>
        <v>0</v>
      </c>
      <c r="Q63" s="40">
        <f>IF(ISNUMBER(F79),F79,0)+IF(ISNUMBER(F81),F81,0)+IF(ISNUMBER(D82),D82,0)</f>
        <v>0</v>
      </c>
      <c r="R63" s="40">
        <f>IF(ISNUMBER(D79),D79,0)+IF(ISNUMBER(D81),D81,0)+IF(ISNUMBER(F82),F82,0)</f>
        <v>0</v>
      </c>
      <c r="S63" s="40">
        <f>Q63-R63</f>
        <v>0</v>
      </c>
      <c r="T63" s="40">
        <f>N63*3+O63</f>
        <v>0</v>
      </c>
      <c r="U63">
        <f>T63*100000000 + (S63+100)*100000 + Q63*1000 + IFERROR(VLOOKUP(L63, RankingFIFA!$A$1:$B$48, 2, FALSE), 0) + (63/1000)</f>
        <v>10001000.062999999</v>
      </c>
    </row>
    <row r="64" spans="1:21" x14ac:dyDescent="0.25">
      <c r="C64" s="4" t="s">
        <v>91</v>
      </c>
      <c r="D64" s="42"/>
      <c r="E64" s="5" t="s">
        <v>21</v>
      </c>
      <c r="F64" s="42"/>
      <c r="G64" s="6" t="s">
        <v>95</v>
      </c>
      <c r="H64" t="str">
        <f t="shared" si="7"/>
        <v/>
      </c>
      <c r="I64" t="s">
        <v>116</v>
      </c>
    </row>
    <row r="65" spans="1:21" ht="18.75" customHeight="1" x14ac:dyDescent="0.25">
      <c r="C65" s="4" t="s">
        <v>93</v>
      </c>
      <c r="D65" s="42"/>
      <c r="E65" s="5" t="s">
        <v>21</v>
      </c>
      <c r="F65" s="42"/>
      <c r="G65" s="6" t="s">
        <v>96</v>
      </c>
      <c r="H65" t="str">
        <f t="shared" si="7"/>
        <v/>
      </c>
      <c r="I65" t="s">
        <v>117</v>
      </c>
      <c r="J65" s="48"/>
      <c r="K65" s="49"/>
      <c r="L65" s="49"/>
      <c r="M65" s="49"/>
      <c r="N65" s="49"/>
      <c r="O65" s="49"/>
      <c r="P65" s="49"/>
      <c r="Q65" s="49"/>
      <c r="R65" s="49"/>
      <c r="S65" s="49"/>
      <c r="T65" s="49"/>
    </row>
    <row r="66" spans="1:21" x14ac:dyDescent="0.25">
      <c r="C66" s="4" t="s">
        <v>96</v>
      </c>
      <c r="D66" s="42"/>
      <c r="E66" s="5" t="s">
        <v>21</v>
      </c>
      <c r="F66" s="42"/>
      <c r="G66" s="6" t="s">
        <v>91</v>
      </c>
      <c r="H66" t="str">
        <f t="shared" si="7"/>
        <v/>
      </c>
      <c r="I66" t="s">
        <v>118</v>
      </c>
      <c r="K66" s="40" t="s">
        <v>119</v>
      </c>
      <c r="L66" t="s">
        <v>120</v>
      </c>
      <c r="M66" s="40">
        <f>IF(ISNUMBER(D86),1,0)+IF(ISNUMBER(D88),1,0)+IF(ISNUMBER(F90),1,0)</f>
        <v>0</v>
      </c>
      <c r="N66" s="40">
        <f>IF(AND(ISNUMBER(D86),ISNUMBER(F86),D86&gt;F86),1,0)+IF(AND(ISNUMBER(D88),ISNUMBER(F88),D88&gt;F88),1,0)+IF(AND(ISNUMBER(F90),ISNUMBER(D90),F90&gt;D90),1,0)</f>
        <v>0</v>
      </c>
      <c r="O66" s="40">
        <f>IF(AND(ISNUMBER(D86),ISNUMBER(F86),D86=F86),1,0)+IF(AND(ISNUMBER(D88),ISNUMBER(F88),D88=F88),1,0)+IF(AND(ISNUMBER(F90),ISNUMBER(D90),F90=D90),1,0)</f>
        <v>0</v>
      </c>
      <c r="P66" s="40">
        <f>IF(AND(ISNUMBER(D86),ISNUMBER(F86),D86&lt;F86),1,0)+IF(AND(ISNUMBER(D88),ISNUMBER(F88),D88&lt;F88),1,0)+IF(AND(ISNUMBER(F90),ISNUMBER(D90),F90&lt;D90),1,0)</f>
        <v>0</v>
      </c>
      <c r="Q66" s="40">
        <f>IF(ISNUMBER(D86),D86,0)+IF(ISNUMBER(D88),D88,0)+IF(ISNUMBER(F90),F90,0)</f>
        <v>0</v>
      </c>
      <c r="R66" s="40">
        <f>IF(ISNUMBER(F86),F86,0)+IF(ISNUMBER(F88),F88,0)+IF(ISNUMBER(D90),D90,0)</f>
        <v>0</v>
      </c>
      <c r="S66" s="40">
        <f>Q66-R66</f>
        <v>0</v>
      </c>
      <c r="T66" s="40">
        <f>N66*3+O66</f>
        <v>0</v>
      </c>
      <c r="U66">
        <f>T66*100000000 + (S66+100)*100000 + Q66*1000 + IFERROR(VLOOKUP(L66, RankingFIFA!$A$1:$B$48, 2, FALSE), 0) + (66/1000)</f>
        <v>10001000.066</v>
      </c>
    </row>
    <row r="67" spans="1:21" x14ac:dyDescent="0.25">
      <c r="C67" s="4" t="s">
        <v>93</v>
      </c>
      <c r="D67" s="42"/>
      <c r="E67" s="5" t="s">
        <v>21</v>
      </c>
      <c r="F67" s="42"/>
      <c r="G67" s="6" t="s">
        <v>95</v>
      </c>
      <c r="H67" t="str">
        <f t="shared" si="7"/>
        <v/>
      </c>
      <c r="I67" t="s">
        <v>118</v>
      </c>
      <c r="K67" s="40" t="s">
        <v>119</v>
      </c>
      <c r="L67" t="s">
        <v>121</v>
      </c>
      <c r="M67" s="40">
        <f>IF(ISNUMBER(F86),1,0)+IF(ISNUMBER(D89),1,0)+IF(ISNUMBER(D91),1,0)</f>
        <v>0</v>
      </c>
      <c r="N67" s="40">
        <f>IF(AND(ISNUMBER(F86),ISNUMBER(D86),F86&gt;D86),1,0)+IF(AND(ISNUMBER(D89),ISNUMBER(F89),D89&gt;F89),1,0)+IF(AND(ISNUMBER(D91),ISNUMBER(F91),D91&gt;F91),1,0)</f>
        <v>0</v>
      </c>
      <c r="O67" s="40">
        <f>IF(AND(ISNUMBER(F86),ISNUMBER(D86),F86=D86),1,0)+IF(AND(ISNUMBER(D89),ISNUMBER(F89),D89=F89),1,0)+IF(AND(ISNUMBER(D91),ISNUMBER(F91),D91=F91),1,0)</f>
        <v>0</v>
      </c>
      <c r="P67" s="40">
        <f>IF(AND(ISNUMBER(F86),ISNUMBER(D86),F86&lt;D86),1,0)+IF(AND(ISNUMBER(D89),ISNUMBER(F89),D89&lt;F89),1,0)+IF(AND(ISNUMBER(D91),ISNUMBER(F91),D91&lt;F91),1,0)</f>
        <v>0</v>
      </c>
      <c r="Q67" s="40">
        <f>IF(ISNUMBER(F86),F86,0)+IF(ISNUMBER(D89),D89,0)+IF(ISNUMBER(D91),D91,0)</f>
        <v>0</v>
      </c>
      <c r="R67" s="40">
        <f>IF(ISNUMBER(D86),D86,0)+IF(ISNUMBER(F89),F89,0)+IF(ISNUMBER(F91),F91,0)</f>
        <v>0</v>
      </c>
      <c r="S67" s="40">
        <f>Q67-R67</f>
        <v>0</v>
      </c>
      <c r="T67" s="40">
        <f>N67*3+O67</f>
        <v>0</v>
      </c>
      <c r="U67">
        <f>T67*100000000 + (S67+100)*100000 + Q67*1000 + IFERROR(VLOOKUP(L67, RankingFIFA!$A$1:$B$48, 2, FALSE), 0) + (67/1000)</f>
        <v>10001000.067</v>
      </c>
    </row>
    <row r="68" spans="1:21" x14ac:dyDescent="0.25">
      <c r="K68" s="40" t="s">
        <v>119</v>
      </c>
      <c r="L68" t="s">
        <v>122</v>
      </c>
      <c r="M68" s="40">
        <f>IF(ISNUMBER(D87),1,0)+IF(ISNUMBER(F88),1,0)+IF(ISNUMBER(F91),1,0)</f>
        <v>0</v>
      </c>
      <c r="N68" s="40">
        <f>IF(AND(ISNUMBER(D87),ISNUMBER(F87),D87&gt;F87),1,0)+IF(AND(ISNUMBER(F88),ISNUMBER(D88),F88&gt;D88),1,0)+IF(AND(ISNUMBER(F91),ISNUMBER(D91),F91&gt;D91),1,0)</f>
        <v>0</v>
      </c>
      <c r="O68" s="40">
        <f>IF(AND(ISNUMBER(D87),ISNUMBER(F87),D87=F87),1,0)+IF(AND(ISNUMBER(F88),ISNUMBER(D88),F88=D88),1,0)+IF(AND(ISNUMBER(F91),ISNUMBER(D91),F91=D91),1,0)</f>
        <v>0</v>
      </c>
      <c r="P68" s="40">
        <f>IF(AND(ISNUMBER(D87),ISNUMBER(F87),D87&lt;F87),1,0)+IF(AND(ISNUMBER(F88),ISNUMBER(D88),F88&lt;D88),1,0)+IF(AND(ISNUMBER(F91),ISNUMBER(D91),F91&lt;D91),1,0)</f>
        <v>0</v>
      </c>
      <c r="Q68" s="40">
        <f>IF(ISNUMBER(D87),D87,0)+IF(ISNUMBER(F88),F88,0)+IF(ISNUMBER(F91),F91,0)</f>
        <v>0</v>
      </c>
      <c r="R68" s="40">
        <f>IF(ISNUMBER(F87),F87,0)+IF(ISNUMBER(D88),D88,0)+IF(ISNUMBER(D91),D91,0)</f>
        <v>0</v>
      </c>
      <c r="S68" s="40">
        <f>Q68-R68</f>
        <v>0</v>
      </c>
      <c r="T68" s="40">
        <f>N68*3+O68</f>
        <v>0</v>
      </c>
      <c r="U68">
        <f>T68*100000000 + (S68+100)*100000 + Q68*1000 + IFERROR(VLOOKUP(L68, RankingFIFA!$A$1:$B$48, 2, FALSE), 0) + (68/1000)</f>
        <v>10001000.068</v>
      </c>
    </row>
    <row r="69" spans="1:21" ht="18.75" customHeight="1" x14ac:dyDescent="0.35">
      <c r="A69" s="27" t="s">
        <v>123</v>
      </c>
      <c r="B69" s="26"/>
      <c r="C69" s="26"/>
      <c r="D69" s="41"/>
      <c r="E69" s="26"/>
      <c r="F69" s="41"/>
      <c r="G69" s="26"/>
      <c r="H69" s="26"/>
      <c r="I69" s="26"/>
      <c r="K69" s="40" t="s">
        <v>119</v>
      </c>
      <c r="L69" t="s">
        <v>124</v>
      </c>
      <c r="M69" s="40">
        <f>IF(ISNUMBER(F87),1,0)+IF(ISNUMBER(F89),1,0)+IF(ISNUMBER(D90),1,0)</f>
        <v>0</v>
      </c>
      <c r="N69" s="40">
        <f>IF(AND(ISNUMBER(F87),ISNUMBER(D87),F87&gt;D87),1,0)+IF(AND(ISNUMBER(F89),ISNUMBER(D89),F89&gt;D89),1,0)+IF(AND(ISNUMBER(D90),ISNUMBER(F90),D90&gt;F90),1,0)</f>
        <v>0</v>
      </c>
      <c r="O69" s="40">
        <f>IF(AND(ISNUMBER(F87),ISNUMBER(D87),F87=D87),1,0)+IF(AND(ISNUMBER(F89),ISNUMBER(D89),F89=D89),1,0)+IF(AND(ISNUMBER(D90),ISNUMBER(F90),D90=F90),1,0)</f>
        <v>0</v>
      </c>
      <c r="P69" s="40">
        <f>IF(AND(ISNUMBER(F87),ISNUMBER(D87),F87&lt;D87),1,0)+IF(AND(ISNUMBER(F89),ISNUMBER(D89),F89&lt;D89),1,0)+IF(AND(ISNUMBER(D90),ISNUMBER(F90),D90&lt;F90),1,0)</f>
        <v>0</v>
      </c>
      <c r="Q69" s="40">
        <f>IF(ISNUMBER(F87),F87,0)+IF(ISNUMBER(F89),F89,0)+IF(ISNUMBER(D90),D90,0)</f>
        <v>0</v>
      </c>
      <c r="R69" s="40">
        <f>IF(ISNUMBER(D87),D87,0)+IF(ISNUMBER(D89),D89,0)+IF(ISNUMBER(F90),F90,0)</f>
        <v>0</v>
      </c>
      <c r="S69" s="40">
        <f>Q69-R69</f>
        <v>0</v>
      </c>
      <c r="T69" s="40">
        <f>N69*3+O69</f>
        <v>0</v>
      </c>
      <c r="U69">
        <f>T69*100000000 + (S69+100)*100000 + Q69*1000 + IFERROR(VLOOKUP(L69, RankingFIFA!$A$1:$B$48, 2, FALSE), 0) + (69/1000)</f>
        <v>10001000.069</v>
      </c>
    </row>
    <row r="70" spans="1:21" x14ac:dyDescent="0.25">
      <c r="C70" s="4" t="s">
        <v>100</v>
      </c>
      <c r="D70" s="42"/>
      <c r="E70" s="5" t="s">
        <v>21</v>
      </c>
      <c r="F70" s="42"/>
      <c r="G70" s="6" t="s">
        <v>102</v>
      </c>
      <c r="H70" t="str">
        <f t="shared" ref="H70:H75" si="8">IF(AND(ISNUMBER(D70),ISNUMBER(F70)),"Ok","")</f>
        <v/>
      </c>
      <c r="I70" t="s">
        <v>125</v>
      </c>
    </row>
    <row r="71" spans="1:21" ht="18.75" customHeight="1" x14ac:dyDescent="0.25">
      <c r="C71" s="4" t="s">
        <v>104</v>
      </c>
      <c r="D71" s="42"/>
      <c r="E71" s="5" t="s">
        <v>21</v>
      </c>
      <c r="F71" s="42"/>
      <c r="G71" s="6" t="s">
        <v>106</v>
      </c>
      <c r="H71" t="str">
        <f t="shared" si="8"/>
        <v/>
      </c>
      <c r="I71" t="s">
        <v>126</v>
      </c>
      <c r="J71" s="48"/>
      <c r="K71" s="49"/>
      <c r="L71" s="49"/>
      <c r="M71" s="49"/>
      <c r="N71" s="49"/>
      <c r="O71" s="49"/>
      <c r="P71" s="49"/>
      <c r="Q71" s="49"/>
      <c r="R71" s="49"/>
      <c r="S71" s="49"/>
      <c r="T71" s="49"/>
    </row>
    <row r="72" spans="1:21" x14ac:dyDescent="0.25">
      <c r="C72" s="4" t="s">
        <v>100</v>
      </c>
      <c r="D72" s="42"/>
      <c r="E72" s="5" t="s">
        <v>21</v>
      </c>
      <c r="F72" s="42"/>
      <c r="G72" s="6" t="s">
        <v>104</v>
      </c>
      <c r="H72" t="str">
        <f t="shared" si="8"/>
        <v/>
      </c>
      <c r="I72" t="s">
        <v>127</v>
      </c>
      <c r="K72" s="40" t="s">
        <v>128</v>
      </c>
      <c r="L72" t="s">
        <v>129</v>
      </c>
      <c r="M72" s="40">
        <f>IF(ISNUMBER(D94),1,0)+IF(ISNUMBER(D96),1,0)+IF(ISNUMBER(F98),1,0)</f>
        <v>0</v>
      </c>
      <c r="N72" s="40">
        <f>IF(AND(ISNUMBER(D94),ISNUMBER(F94),D94&gt;F94),1,0)+IF(AND(ISNUMBER(D96),ISNUMBER(F96),D96&gt;F96),1,0)+IF(AND(ISNUMBER(F98),ISNUMBER(D98),F98&gt;D98),1,0)</f>
        <v>0</v>
      </c>
      <c r="O72" s="40">
        <f>IF(AND(ISNUMBER(D94),ISNUMBER(F94),D94=F94),1,0)+IF(AND(ISNUMBER(D96),ISNUMBER(F96),D96=F96),1,0)+IF(AND(ISNUMBER(F98),ISNUMBER(D98),F98=D98),1,0)</f>
        <v>0</v>
      </c>
      <c r="P72" s="40">
        <f>IF(AND(ISNUMBER(D94),ISNUMBER(F94),D94&lt;F94),1,0)+IF(AND(ISNUMBER(D96),ISNUMBER(F96),D96&lt;F96),1,0)+IF(AND(ISNUMBER(F98),ISNUMBER(D98),F98&lt;D98),1,0)</f>
        <v>0</v>
      </c>
      <c r="Q72" s="40">
        <f>IF(ISNUMBER(D94),D94,0)+IF(ISNUMBER(D96),D96,0)+IF(ISNUMBER(F98),F98,0)</f>
        <v>0</v>
      </c>
      <c r="R72" s="40">
        <f>IF(ISNUMBER(F94),F94,0)+IF(ISNUMBER(F96),F96,0)+IF(ISNUMBER(D98),D98,0)</f>
        <v>0</v>
      </c>
      <c r="S72" s="40">
        <f>Q72-R72</f>
        <v>0</v>
      </c>
      <c r="T72" s="40">
        <f>N72*3+O72</f>
        <v>0</v>
      </c>
      <c r="U72">
        <f>T72*100000000 + (S72+100)*100000 + Q72*1000 + IFERROR(VLOOKUP(L72, RankingFIFA!$A$1:$B$48, 2, FALSE), 0) + (72/1000)</f>
        <v>10001000.072000001</v>
      </c>
    </row>
    <row r="73" spans="1:21" x14ac:dyDescent="0.25">
      <c r="C73" s="4" t="s">
        <v>102</v>
      </c>
      <c r="D73" s="42"/>
      <c r="E73" s="5" t="s">
        <v>21</v>
      </c>
      <c r="F73" s="42"/>
      <c r="G73" s="6" t="s">
        <v>106</v>
      </c>
      <c r="H73" t="str">
        <f t="shared" si="8"/>
        <v/>
      </c>
      <c r="I73" t="s">
        <v>130</v>
      </c>
      <c r="K73" s="40" t="s">
        <v>128</v>
      </c>
      <c r="L73" t="s">
        <v>131</v>
      </c>
      <c r="M73" s="40">
        <f>IF(ISNUMBER(F94),1,0)+IF(ISNUMBER(D97),1,0)+IF(ISNUMBER(D99),1,0)</f>
        <v>0</v>
      </c>
      <c r="N73" s="40">
        <f>IF(AND(ISNUMBER(F94),ISNUMBER(D94),F94&gt;D94),1,0)+IF(AND(ISNUMBER(D97),ISNUMBER(F97),D97&gt;F97),1,0)+IF(AND(ISNUMBER(D99),ISNUMBER(F99),D99&gt;F99),1,0)</f>
        <v>0</v>
      </c>
      <c r="O73" s="40">
        <f>IF(AND(ISNUMBER(F94),ISNUMBER(D94),F94=D94),1,0)+IF(AND(ISNUMBER(D97),ISNUMBER(F97),D97=F97),1,0)+IF(AND(ISNUMBER(D99),ISNUMBER(F99),D99=F99),1,0)</f>
        <v>0</v>
      </c>
      <c r="P73" s="40">
        <f>IF(AND(ISNUMBER(F94),ISNUMBER(D94),F94&lt;D94),1,0)+IF(AND(ISNUMBER(D97),ISNUMBER(F97),D97&lt;F97),1,0)+IF(AND(ISNUMBER(D99),ISNUMBER(F99),D99&lt;F99),1,0)</f>
        <v>0</v>
      </c>
      <c r="Q73" s="40">
        <f>IF(ISNUMBER(F94),F94,0)+IF(ISNUMBER(D97),D97,0)+IF(ISNUMBER(D99),D99,0)</f>
        <v>0</v>
      </c>
      <c r="R73" s="40">
        <f>IF(ISNUMBER(D94),D94,0)+IF(ISNUMBER(F97),F97,0)+IF(ISNUMBER(F99),F99,0)</f>
        <v>0</v>
      </c>
      <c r="S73" s="40">
        <f>Q73-R73</f>
        <v>0</v>
      </c>
      <c r="T73" s="40">
        <f>N73*3+O73</f>
        <v>0</v>
      </c>
      <c r="U73">
        <f>T73*100000000 + (S73+100)*100000 + Q73*1000 + IFERROR(VLOOKUP(L73, RankingFIFA!$A$1:$B$48, 2, FALSE), 0) + (73/1000)</f>
        <v>10001000.073000001</v>
      </c>
    </row>
    <row r="74" spans="1:21" x14ac:dyDescent="0.25">
      <c r="C74" s="4" t="s">
        <v>106</v>
      </c>
      <c r="D74" s="42"/>
      <c r="E74" s="5" t="s">
        <v>21</v>
      </c>
      <c r="F74" s="42"/>
      <c r="G74" s="6" t="s">
        <v>100</v>
      </c>
      <c r="H74" t="str">
        <f t="shared" si="8"/>
        <v/>
      </c>
      <c r="I74" t="s">
        <v>132</v>
      </c>
      <c r="K74" s="40" t="s">
        <v>128</v>
      </c>
      <c r="L74" t="s">
        <v>133</v>
      </c>
      <c r="M74" s="40">
        <f>IF(ISNUMBER(D95),1,0)+IF(ISNUMBER(F96),1,0)+IF(ISNUMBER(F99),1,0)</f>
        <v>0</v>
      </c>
      <c r="N74" s="40">
        <f>IF(AND(ISNUMBER(D95),ISNUMBER(F95),D95&gt;F95),1,0)+IF(AND(ISNUMBER(F96),ISNUMBER(D96),F96&gt;D96),1,0)+IF(AND(ISNUMBER(F99),ISNUMBER(D99),F99&gt;D99),1,0)</f>
        <v>0</v>
      </c>
      <c r="O74" s="40">
        <f>IF(AND(ISNUMBER(D95),ISNUMBER(F95),D95=F95),1,0)+IF(AND(ISNUMBER(F96),ISNUMBER(D96),F96=D96),1,0)+IF(AND(ISNUMBER(F99),ISNUMBER(D99),F99=D99),1,0)</f>
        <v>0</v>
      </c>
      <c r="P74" s="40">
        <f>IF(AND(ISNUMBER(D95),ISNUMBER(F95),D95&lt;F95),1,0)+IF(AND(ISNUMBER(F96),ISNUMBER(D96),F96&lt;D96),1,0)+IF(AND(ISNUMBER(F99),ISNUMBER(D99),F99&lt;D99),1,0)</f>
        <v>0</v>
      </c>
      <c r="Q74" s="40">
        <f>IF(ISNUMBER(D95),D95,0)+IF(ISNUMBER(F96),F96,0)+IF(ISNUMBER(F99),F99,0)</f>
        <v>0</v>
      </c>
      <c r="R74" s="40">
        <f>IF(ISNUMBER(F95),F95,0)+IF(ISNUMBER(D96),D96,0)+IF(ISNUMBER(D99),D99,0)</f>
        <v>0</v>
      </c>
      <c r="S74" s="40">
        <f>Q74-R74</f>
        <v>0</v>
      </c>
      <c r="T74" s="40">
        <f>N74*3+O74</f>
        <v>0</v>
      </c>
      <c r="U74">
        <f>T74*100000000 + (S74+100)*100000 + Q74*1000 + IFERROR(VLOOKUP(L74, RankingFIFA!$A$1:$B$48, 2, FALSE), 0) + (74/1000)</f>
        <v>10001000.073999999</v>
      </c>
    </row>
    <row r="75" spans="1:21" x14ac:dyDescent="0.25">
      <c r="C75" s="4" t="s">
        <v>102</v>
      </c>
      <c r="D75" s="42"/>
      <c r="E75" s="5" t="s">
        <v>21</v>
      </c>
      <c r="F75" s="42"/>
      <c r="G75" s="6" t="s">
        <v>104</v>
      </c>
      <c r="H75" t="str">
        <f t="shared" si="8"/>
        <v/>
      </c>
      <c r="I75" t="s">
        <v>132</v>
      </c>
      <c r="K75" s="40" t="s">
        <v>128</v>
      </c>
      <c r="L75" t="s">
        <v>134</v>
      </c>
      <c r="M75" s="40">
        <f>IF(ISNUMBER(F95),1,0)+IF(ISNUMBER(F97),1,0)+IF(ISNUMBER(D98),1,0)</f>
        <v>0</v>
      </c>
      <c r="N75" s="40">
        <f>IF(AND(ISNUMBER(F95),ISNUMBER(D95),F95&gt;D95),1,0)+IF(AND(ISNUMBER(F97),ISNUMBER(D97),F97&gt;D97),1,0)+IF(AND(ISNUMBER(D98),ISNUMBER(F98),D98&gt;F98),1,0)</f>
        <v>0</v>
      </c>
      <c r="O75" s="40">
        <f>IF(AND(ISNUMBER(F95),ISNUMBER(D95),F95=D95),1,0)+IF(AND(ISNUMBER(F97),ISNUMBER(D97),F97=D97),1,0)+IF(AND(ISNUMBER(D98),ISNUMBER(F98),D98=F98),1,0)</f>
        <v>0</v>
      </c>
      <c r="P75" s="40">
        <f>IF(AND(ISNUMBER(F95),ISNUMBER(D95),F95&lt;D95),1,0)+IF(AND(ISNUMBER(F97),ISNUMBER(D97),F97&lt;D97),1,0)+IF(AND(ISNUMBER(D98),ISNUMBER(F98),D98&lt;F98),1,0)</f>
        <v>0</v>
      </c>
      <c r="Q75" s="40">
        <f>IF(ISNUMBER(F95),F95,0)+IF(ISNUMBER(F97),F97,0)+IF(ISNUMBER(D98),D98,0)</f>
        <v>0</v>
      </c>
      <c r="R75" s="40">
        <f>IF(ISNUMBER(D95),D95,0)+IF(ISNUMBER(D97),D97,0)+IF(ISNUMBER(F98),F98,0)</f>
        <v>0</v>
      </c>
      <c r="S75" s="40">
        <f>Q75-R75</f>
        <v>0</v>
      </c>
      <c r="T75" s="40">
        <f>N75*3+O75</f>
        <v>0</v>
      </c>
      <c r="U75">
        <f>T75*100000000 + (S75+100)*100000 + Q75*1000 + IFERROR(VLOOKUP(L75, RankingFIFA!$A$1:$B$48, 2, FALSE), 0) + (75/1000)</f>
        <v>10001000.074999999</v>
      </c>
    </row>
    <row r="77" spans="1:21" ht="18.75" customHeight="1" x14ac:dyDescent="0.35">
      <c r="A77" s="27" t="s">
        <v>135</v>
      </c>
      <c r="B77" s="26"/>
      <c r="C77" s="26"/>
      <c r="D77" s="41"/>
      <c r="E77" s="26"/>
      <c r="F77" s="41"/>
      <c r="G77" s="26"/>
      <c r="H77" s="26"/>
      <c r="I77" s="26"/>
    </row>
    <row r="78" spans="1:21" x14ac:dyDescent="0.25">
      <c r="C78" s="4" t="s">
        <v>109</v>
      </c>
      <c r="D78" s="42"/>
      <c r="E78" s="5" t="s">
        <v>21</v>
      </c>
      <c r="F78" s="42"/>
      <c r="G78" s="6" t="s">
        <v>111</v>
      </c>
      <c r="H78" t="str">
        <f t="shared" ref="H78:H83" si="9">IF(AND(ISNUMBER(D78),ISNUMBER(F78)),"Ok","")</f>
        <v/>
      </c>
      <c r="I78" t="s">
        <v>136</v>
      </c>
    </row>
    <row r="79" spans="1:21" x14ac:dyDescent="0.25">
      <c r="C79" s="4" t="s">
        <v>113</v>
      </c>
      <c r="D79" s="42"/>
      <c r="E79" s="5" t="s">
        <v>21</v>
      </c>
      <c r="F79" s="42"/>
      <c r="G79" s="6" t="s">
        <v>115</v>
      </c>
      <c r="H79" t="str">
        <f t="shared" si="9"/>
        <v/>
      </c>
      <c r="I79" t="s">
        <v>137</v>
      </c>
    </row>
    <row r="80" spans="1:21" x14ac:dyDescent="0.25">
      <c r="C80" s="4" t="s">
        <v>109</v>
      </c>
      <c r="D80" s="42"/>
      <c r="E80" s="5" t="s">
        <v>21</v>
      </c>
      <c r="F80" s="42"/>
      <c r="G80" s="6" t="s">
        <v>113</v>
      </c>
      <c r="H80" t="str">
        <f t="shared" si="9"/>
        <v/>
      </c>
      <c r="I80" t="s">
        <v>138</v>
      </c>
    </row>
    <row r="81" spans="1:9" x14ac:dyDescent="0.25">
      <c r="C81" s="4" t="s">
        <v>111</v>
      </c>
      <c r="D81" s="42"/>
      <c r="E81" s="5" t="s">
        <v>21</v>
      </c>
      <c r="F81" s="42"/>
      <c r="G81" s="6" t="s">
        <v>115</v>
      </c>
      <c r="H81" t="str">
        <f t="shared" si="9"/>
        <v/>
      </c>
      <c r="I81" t="s">
        <v>139</v>
      </c>
    </row>
    <row r="82" spans="1:9" x14ac:dyDescent="0.25">
      <c r="C82" s="4" t="s">
        <v>115</v>
      </c>
      <c r="D82" s="42"/>
      <c r="E82" s="5" t="s">
        <v>21</v>
      </c>
      <c r="F82" s="42"/>
      <c r="G82" s="6" t="s">
        <v>109</v>
      </c>
      <c r="H82" t="str">
        <f t="shared" si="9"/>
        <v/>
      </c>
      <c r="I82" t="s">
        <v>140</v>
      </c>
    </row>
    <row r="83" spans="1:9" x14ac:dyDescent="0.25">
      <c r="C83" s="4" t="s">
        <v>111</v>
      </c>
      <c r="D83" s="42"/>
      <c r="E83" s="5" t="s">
        <v>21</v>
      </c>
      <c r="F83" s="42"/>
      <c r="G83" s="6" t="s">
        <v>113</v>
      </c>
      <c r="H83" t="str">
        <f t="shared" si="9"/>
        <v/>
      </c>
      <c r="I83" t="s">
        <v>140</v>
      </c>
    </row>
    <row r="85" spans="1:9" ht="18.75" customHeight="1" x14ac:dyDescent="0.35">
      <c r="A85" s="27" t="s">
        <v>141</v>
      </c>
      <c r="B85" s="26"/>
      <c r="C85" s="26"/>
      <c r="D85" s="41"/>
      <c r="E85" s="26"/>
      <c r="F85" s="41"/>
      <c r="G85" s="26"/>
      <c r="H85" s="26"/>
      <c r="I85" s="26"/>
    </row>
    <row r="86" spans="1:9" x14ac:dyDescent="0.25">
      <c r="C86" s="4" t="s">
        <v>120</v>
      </c>
      <c r="D86" s="42"/>
      <c r="E86" s="5" t="s">
        <v>21</v>
      </c>
      <c r="F86" s="42"/>
      <c r="G86" s="6" t="s">
        <v>121</v>
      </c>
      <c r="H86" t="str">
        <f t="shared" ref="H86:H91" si="10">IF(AND(ISNUMBER(D86),ISNUMBER(F86)),"Ok","")</f>
        <v/>
      </c>
      <c r="I86" t="s">
        <v>142</v>
      </c>
    </row>
    <row r="87" spans="1:9" x14ac:dyDescent="0.25">
      <c r="C87" s="4" t="s">
        <v>122</v>
      </c>
      <c r="D87" s="42"/>
      <c r="E87" s="5" t="s">
        <v>21</v>
      </c>
      <c r="F87" s="42"/>
      <c r="G87" s="6" t="s">
        <v>124</v>
      </c>
      <c r="H87" t="str">
        <f t="shared" si="10"/>
        <v/>
      </c>
      <c r="I87" t="s">
        <v>143</v>
      </c>
    </row>
    <row r="88" spans="1:9" x14ac:dyDescent="0.25">
      <c r="C88" s="4" t="s">
        <v>120</v>
      </c>
      <c r="D88" s="42"/>
      <c r="E88" s="5" t="s">
        <v>21</v>
      </c>
      <c r="F88" s="42"/>
      <c r="G88" s="6" t="s">
        <v>122</v>
      </c>
      <c r="H88" t="str">
        <f t="shared" si="10"/>
        <v/>
      </c>
      <c r="I88" t="s">
        <v>144</v>
      </c>
    </row>
    <row r="89" spans="1:9" x14ac:dyDescent="0.25">
      <c r="C89" s="4" t="s">
        <v>121</v>
      </c>
      <c r="D89" s="42"/>
      <c r="E89" s="5" t="s">
        <v>21</v>
      </c>
      <c r="F89" s="42"/>
      <c r="G89" s="6" t="s">
        <v>124</v>
      </c>
      <c r="H89" t="str">
        <f t="shared" si="10"/>
        <v/>
      </c>
      <c r="I89" t="s">
        <v>145</v>
      </c>
    </row>
    <row r="90" spans="1:9" x14ac:dyDescent="0.25">
      <c r="C90" s="4" t="s">
        <v>124</v>
      </c>
      <c r="D90" s="42"/>
      <c r="E90" s="5" t="s">
        <v>21</v>
      </c>
      <c r="F90" s="42"/>
      <c r="G90" s="6" t="s">
        <v>120</v>
      </c>
      <c r="H90" t="str">
        <f t="shared" si="10"/>
        <v/>
      </c>
      <c r="I90" t="s">
        <v>146</v>
      </c>
    </row>
    <row r="91" spans="1:9" x14ac:dyDescent="0.25">
      <c r="C91" s="4" t="s">
        <v>121</v>
      </c>
      <c r="D91" s="42"/>
      <c r="E91" s="5" t="s">
        <v>21</v>
      </c>
      <c r="F91" s="42"/>
      <c r="G91" s="6" t="s">
        <v>122</v>
      </c>
      <c r="H91" t="str">
        <f t="shared" si="10"/>
        <v/>
      </c>
      <c r="I91" t="s">
        <v>146</v>
      </c>
    </row>
    <row r="93" spans="1:9" ht="18.75" customHeight="1" x14ac:dyDescent="0.35">
      <c r="A93" s="27" t="s">
        <v>147</v>
      </c>
      <c r="B93" s="26"/>
      <c r="C93" s="26"/>
      <c r="D93" s="41"/>
      <c r="E93" s="26"/>
      <c r="F93" s="41"/>
      <c r="G93" s="26"/>
      <c r="H93" s="26"/>
      <c r="I93" s="26"/>
    </row>
    <row r="94" spans="1:9" x14ac:dyDescent="0.25">
      <c r="C94" s="4" t="s">
        <v>129</v>
      </c>
      <c r="D94" s="42"/>
      <c r="E94" s="5" t="s">
        <v>21</v>
      </c>
      <c r="F94" s="42"/>
      <c r="G94" s="6" t="s">
        <v>131</v>
      </c>
      <c r="H94" t="str">
        <f t="shared" ref="H94:H99" si="11">IF(AND(ISNUMBER(D94),ISNUMBER(F94)),"Ok","")</f>
        <v/>
      </c>
      <c r="I94" t="s">
        <v>148</v>
      </c>
    </row>
    <row r="95" spans="1:9" x14ac:dyDescent="0.25">
      <c r="C95" s="4" t="s">
        <v>133</v>
      </c>
      <c r="D95" s="42"/>
      <c r="E95" s="5" t="s">
        <v>21</v>
      </c>
      <c r="F95" s="42"/>
      <c r="G95" s="6" t="s">
        <v>134</v>
      </c>
      <c r="H95" t="str">
        <f t="shared" si="11"/>
        <v/>
      </c>
      <c r="I95" t="s">
        <v>149</v>
      </c>
    </row>
    <row r="96" spans="1:9" x14ac:dyDescent="0.25">
      <c r="C96" s="4" t="s">
        <v>129</v>
      </c>
      <c r="D96" s="42"/>
      <c r="E96" s="5" t="s">
        <v>21</v>
      </c>
      <c r="F96" s="42"/>
      <c r="G96" s="6" t="s">
        <v>133</v>
      </c>
      <c r="H96" t="str">
        <f t="shared" si="11"/>
        <v/>
      </c>
      <c r="I96" t="s">
        <v>150</v>
      </c>
    </row>
    <row r="97" spans="3:9" x14ac:dyDescent="0.25">
      <c r="C97" s="4" t="s">
        <v>131</v>
      </c>
      <c r="D97" s="42"/>
      <c r="E97" s="5" t="s">
        <v>21</v>
      </c>
      <c r="F97" s="42"/>
      <c r="G97" s="6" t="s">
        <v>134</v>
      </c>
      <c r="H97" t="str">
        <f t="shared" si="11"/>
        <v/>
      </c>
      <c r="I97" t="s">
        <v>151</v>
      </c>
    </row>
    <row r="98" spans="3:9" x14ac:dyDescent="0.25">
      <c r="C98" s="4" t="s">
        <v>134</v>
      </c>
      <c r="D98" s="42"/>
      <c r="E98" s="5" t="s">
        <v>21</v>
      </c>
      <c r="F98" s="42"/>
      <c r="G98" s="6" t="s">
        <v>129</v>
      </c>
      <c r="H98" t="str">
        <f t="shared" si="11"/>
        <v/>
      </c>
      <c r="I98" t="s">
        <v>152</v>
      </c>
    </row>
    <row r="99" spans="3:9" x14ac:dyDescent="0.25">
      <c r="C99" s="4" t="s">
        <v>131</v>
      </c>
      <c r="D99" s="42"/>
      <c r="E99" s="5" t="s">
        <v>21</v>
      </c>
      <c r="F99" s="42"/>
      <c r="G99" s="6" t="s">
        <v>133</v>
      </c>
      <c r="H99" t="str">
        <f t="shared" si="11"/>
        <v/>
      </c>
      <c r="I99" t="s">
        <v>152</v>
      </c>
    </row>
  </sheetData>
  <mergeCells count="13">
    <mergeCell ref="A1:H2"/>
    <mergeCell ref="J65:T65"/>
    <mergeCell ref="J59:T59"/>
    <mergeCell ref="J53:T53"/>
    <mergeCell ref="J29:T29"/>
    <mergeCell ref="J5:T5"/>
    <mergeCell ref="J41:T41"/>
    <mergeCell ref="J11:T11"/>
    <mergeCell ref="J71:T71"/>
    <mergeCell ref="J17:T17"/>
    <mergeCell ref="J23:T23"/>
    <mergeCell ref="J35:T35"/>
    <mergeCell ref="J47:T47"/>
  </mergeCell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00000000-000E-0000-0100-000001000000}">
            <xm:f>OR(COUNTIF(Eliminatorias!$B$6:$B$21, $L6)&gt;0, COUNTIF(Eliminatorias!$H$6:$H$21, $L6)&gt;0)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L6:T9</xm:sqref>
        </x14:conditionalFormatting>
        <x14:conditionalFormatting xmlns:xm="http://schemas.microsoft.com/office/excel/2006/main">
          <x14:cfRule type="expression" priority="2" stopIfTrue="1" id="{00000000-000E-0000-0100-000002000000}">
            <xm:f>OR(COUNTIF(Eliminatorias!$B$6:$B$21, $L12)&gt;0, COUNTIF(Eliminatorias!$H$6:$H$21, $L12)&gt;0)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L12:T15</xm:sqref>
        </x14:conditionalFormatting>
        <x14:conditionalFormatting xmlns:xm="http://schemas.microsoft.com/office/excel/2006/main">
          <x14:cfRule type="expression" priority="3" stopIfTrue="1" id="{00000000-000E-0000-0100-000003000000}">
            <xm:f>OR(COUNTIF(Eliminatorias!$B$6:$B$21, $L18)&gt;0, COUNTIF(Eliminatorias!$H$6:$H$21, $L18)&gt;0)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L18:T21</xm:sqref>
        </x14:conditionalFormatting>
        <x14:conditionalFormatting xmlns:xm="http://schemas.microsoft.com/office/excel/2006/main">
          <x14:cfRule type="expression" priority="4" stopIfTrue="1" id="{00000000-000E-0000-0100-000004000000}">
            <xm:f>OR(COUNTIF(Eliminatorias!$B$6:$B$21, $L24)&gt;0, COUNTIF(Eliminatorias!$H$6:$H$21, $L24)&gt;0)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L24:T27</xm:sqref>
        </x14:conditionalFormatting>
        <x14:conditionalFormatting xmlns:xm="http://schemas.microsoft.com/office/excel/2006/main">
          <x14:cfRule type="expression" priority="5" stopIfTrue="1" id="{00000000-000E-0000-0100-000005000000}">
            <xm:f>OR(COUNTIF(Eliminatorias!$B$6:$B$21, $L30)&gt;0, COUNTIF(Eliminatorias!$H$6:$H$21, $L30)&gt;0)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L30:T33</xm:sqref>
        </x14:conditionalFormatting>
        <x14:conditionalFormatting xmlns:xm="http://schemas.microsoft.com/office/excel/2006/main">
          <x14:cfRule type="expression" priority="6" stopIfTrue="1" id="{00000000-000E-0000-0100-000006000000}">
            <xm:f>OR(COUNTIF(Eliminatorias!$B$6:$B$21, $L36)&gt;0, COUNTIF(Eliminatorias!$H$6:$H$21, $L36)&gt;0)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L36:T39</xm:sqref>
        </x14:conditionalFormatting>
        <x14:conditionalFormatting xmlns:xm="http://schemas.microsoft.com/office/excel/2006/main">
          <x14:cfRule type="expression" priority="7" stopIfTrue="1" id="{00000000-000E-0000-0100-000007000000}">
            <xm:f>OR(COUNTIF(Eliminatorias!$B$6:$B$21, $L42)&gt;0, COUNTIF(Eliminatorias!$H$6:$H$21, $L42)&gt;0)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L42:T45</xm:sqref>
        </x14:conditionalFormatting>
        <x14:conditionalFormatting xmlns:xm="http://schemas.microsoft.com/office/excel/2006/main">
          <x14:cfRule type="expression" priority="8" stopIfTrue="1" id="{00000000-000E-0000-0100-000008000000}">
            <xm:f>OR(COUNTIF(Eliminatorias!$B$6:$B$21, $L48)&gt;0, COUNTIF(Eliminatorias!$H$6:$H$21, $L48)&gt;0)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L48:T51</xm:sqref>
        </x14:conditionalFormatting>
        <x14:conditionalFormatting xmlns:xm="http://schemas.microsoft.com/office/excel/2006/main">
          <x14:cfRule type="expression" priority="9" stopIfTrue="1" id="{00000000-000E-0000-0100-000009000000}">
            <xm:f>OR(COUNTIF(Eliminatorias!$B$6:$B$21, $L54)&gt;0, COUNTIF(Eliminatorias!$H$6:$H$21, $L54)&gt;0)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L54:T57</xm:sqref>
        </x14:conditionalFormatting>
        <x14:conditionalFormatting xmlns:xm="http://schemas.microsoft.com/office/excel/2006/main">
          <x14:cfRule type="expression" priority="10" stopIfTrue="1" id="{00000000-000E-0000-0100-00000A000000}">
            <xm:f>OR(COUNTIF(Eliminatorias!$B$6:$B$21, $L60)&gt;0, COUNTIF(Eliminatorias!$H$6:$H$21, $L60)&gt;0)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L60:T63</xm:sqref>
        </x14:conditionalFormatting>
        <x14:conditionalFormatting xmlns:xm="http://schemas.microsoft.com/office/excel/2006/main">
          <x14:cfRule type="expression" priority="11" stopIfTrue="1" id="{00000000-000E-0000-0100-00000B000000}">
            <xm:f>OR(COUNTIF(Eliminatorias!$B$6:$B$21, $L66)&gt;0, COUNTIF(Eliminatorias!$H$6:$H$21, $L66)&gt;0)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L66:T69</xm:sqref>
        </x14:conditionalFormatting>
        <x14:conditionalFormatting xmlns:xm="http://schemas.microsoft.com/office/excel/2006/main">
          <x14:cfRule type="expression" priority="12" stopIfTrue="1" id="{00000000-000E-0000-0100-00000C000000}">
            <xm:f>OR(COUNTIF(Eliminatorias!$B$6:$B$21, $L72)&gt;0, COUNTIF(Eliminatorias!$H$6:$H$21, $L72)&gt;0)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L72:T75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7"/>
  <sheetViews>
    <sheetView showGridLines="0" workbookViewId="0"/>
  </sheetViews>
  <sheetFormatPr defaultColWidth="9.140625" defaultRowHeight="15" x14ac:dyDescent="0.25"/>
  <cols>
    <col min="1" max="1" width="3" customWidth="1"/>
    <col min="2" max="3" width="12" customWidth="1"/>
    <col min="4" max="4" width="25" customWidth="1"/>
    <col min="5" max="6" width="10" customWidth="1"/>
    <col min="7" max="7" width="25" customWidth="1"/>
  </cols>
  <sheetData>
    <row r="2" spans="2:7" x14ac:dyDescent="0.25">
      <c r="B2" s="51" t="s">
        <v>183</v>
      </c>
      <c r="C2" s="49"/>
      <c r="D2" s="49"/>
      <c r="E2" s="49"/>
      <c r="F2" s="49"/>
      <c r="G2" s="49"/>
    </row>
    <row r="3" spans="2:7" x14ac:dyDescent="0.25">
      <c r="B3" s="49"/>
      <c r="C3" s="49"/>
      <c r="D3" s="49"/>
      <c r="E3" s="49"/>
      <c r="F3" s="49"/>
      <c r="G3" s="49"/>
    </row>
    <row r="5" spans="2:7" ht="16.5" customHeight="1" x14ac:dyDescent="0.25">
      <c r="B5" s="18" t="s">
        <v>184</v>
      </c>
      <c r="C5" s="18" t="s">
        <v>2</v>
      </c>
      <c r="D5" s="18" t="s">
        <v>9</v>
      </c>
      <c r="E5" s="18" t="s">
        <v>17</v>
      </c>
      <c r="F5" s="18" t="s">
        <v>16</v>
      </c>
      <c r="G5" s="18" t="s">
        <v>185</v>
      </c>
    </row>
    <row r="6" spans="2:7" ht="16.5" customHeight="1" x14ac:dyDescent="0.25">
      <c r="B6" s="19">
        <v>1</v>
      </c>
      <c r="C6" s="19" t="str">
        <f>Backend!B16</f>
        <v>L</v>
      </c>
      <c r="D6" s="20" t="str">
        <f>Backend!C16</f>
        <v>Croacia</v>
      </c>
      <c r="E6" s="19">
        <f>IF(D6="","",VLOOKUP(D6, Grupos!$L$6:$T$77, 9, FALSE))</f>
        <v>0</v>
      </c>
      <c r="F6" s="19">
        <f>IF(D6="","",VLOOKUP(D6, Grupos!$L$6:$S$77, 8, FALSE))</f>
        <v>0</v>
      </c>
      <c r="G6" s="21" t="str">
        <f>IF(Backend!C16="","",IF(1&lt;=8, "✅ Avanza", "❌ Eliminado"))</f>
        <v>✅ Avanza</v>
      </c>
    </row>
    <row r="7" spans="2:7" ht="16.5" customHeight="1" x14ac:dyDescent="0.25">
      <c r="B7" s="22">
        <v>2</v>
      </c>
      <c r="C7" s="22" t="str">
        <f>Backend!B17</f>
        <v>K</v>
      </c>
      <c r="D7" s="23" t="str">
        <f>Backend!C17</f>
        <v>RD Congo</v>
      </c>
      <c r="E7" s="22">
        <f>IF(D7="","",VLOOKUP(D7, Grupos!$L$6:$T$77, 9, FALSE))</f>
        <v>0</v>
      </c>
      <c r="F7" s="22">
        <f>IF(D7="","",VLOOKUP(D7, Grupos!$L$6:$S$77, 8, FALSE))</f>
        <v>0</v>
      </c>
      <c r="G7" s="21" t="str">
        <f>IF(Backend!C17="","",IF(2&lt;=8, "✅ Avanza", "❌ Eliminado"))</f>
        <v>✅ Avanza</v>
      </c>
    </row>
    <row r="8" spans="2:7" ht="16.5" customHeight="1" x14ac:dyDescent="0.25">
      <c r="B8" s="19">
        <v>3</v>
      </c>
      <c r="C8" s="19" t="str">
        <f>Backend!B18</f>
        <v>J</v>
      </c>
      <c r="D8" s="20" t="str">
        <f>Backend!C18</f>
        <v>Argelia</v>
      </c>
      <c r="E8" s="19">
        <f>IF(D8="","",VLOOKUP(D8, Grupos!$L$6:$T$77, 9, FALSE))</f>
        <v>0</v>
      </c>
      <c r="F8" s="19">
        <f>IF(D8="","",VLOOKUP(D8, Grupos!$L$6:$S$77, 8, FALSE))</f>
        <v>0</v>
      </c>
      <c r="G8" s="21" t="str">
        <f>IF(Backend!C18="","",IF(3&lt;=8, "✅ Avanza", "❌ Eliminado"))</f>
        <v>✅ Avanza</v>
      </c>
    </row>
    <row r="9" spans="2:7" ht="16.5" customHeight="1" x14ac:dyDescent="0.25">
      <c r="B9" s="22">
        <v>4</v>
      </c>
      <c r="C9" s="22" t="str">
        <f>Backend!B19</f>
        <v>I</v>
      </c>
      <c r="D9" s="23" t="str">
        <f>Backend!C19</f>
        <v>Senegal</v>
      </c>
      <c r="E9" s="22">
        <f>IF(D9="","",VLOOKUP(D9, Grupos!$L$6:$T$77, 9, FALSE))</f>
        <v>0</v>
      </c>
      <c r="F9" s="22">
        <f>IF(D9="","",VLOOKUP(D9, Grupos!$L$6:$S$77, 8, FALSE))</f>
        <v>0</v>
      </c>
      <c r="G9" s="21" t="str">
        <f>IF(Backend!C19="","",IF(4&lt;=8, "✅ Avanza", "❌ Eliminado"))</f>
        <v>✅ Avanza</v>
      </c>
    </row>
    <row r="10" spans="2:7" ht="16.5" customHeight="1" x14ac:dyDescent="0.25">
      <c r="B10" s="19">
        <v>5</v>
      </c>
      <c r="C10" s="19" t="str">
        <f>Backend!B20</f>
        <v>H</v>
      </c>
      <c r="D10" s="20" t="str">
        <f>Backend!C20</f>
        <v>Cabo Verde</v>
      </c>
      <c r="E10" s="19">
        <f>IF(D10="","",VLOOKUP(D10, Grupos!$L$6:$T$77, 9, FALSE))</f>
        <v>0</v>
      </c>
      <c r="F10" s="19">
        <f>IF(D10="","",VLOOKUP(D10, Grupos!$L$6:$S$77, 8, FALSE))</f>
        <v>0</v>
      </c>
      <c r="G10" s="21" t="str">
        <f>IF(Backend!C20="","",IF(5&lt;=8, "✅ Avanza", "❌ Eliminado"))</f>
        <v>✅ Avanza</v>
      </c>
    </row>
    <row r="11" spans="2:7" ht="16.5" customHeight="1" x14ac:dyDescent="0.25">
      <c r="B11" s="22">
        <v>6</v>
      </c>
      <c r="C11" s="22" t="str">
        <f>Backend!B21</f>
        <v>G</v>
      </c>
      <c r="D11" s="23" t="str">
        <f>Backend!C21</f>
        <v>Egipto</v>
      </c>
      <c r="E11" s="22">
        <f>IF(D11="","",VLOOKUP(D11, Grupos!$L$6:$T$77, 9, FALSE))</f>
        <v>0</v>
      </c>
      <c r="F11" s="22">
        <f>IF(D11="","",VLOOKUP(D11, Grupos!$L$6:$S$77, 8, FALSE))</f>
        <v>0</v>
      </c>
      <c r="G11" s="21" t="str">
        <f>IF(Backend!C21="","",IF(6&lt;=8, "✅ Avanza", "❌ Eliminado"))</f>
        <v>✅ Avanza</v>
      </c>
    </row>
    <row r="12" spans="2:7" ht="16.5" customHeight="1" x14ac:dyDescent="0.25">
      <c r="B12" s="19">
        <v>7</v>
      </c>
      <c r="C12" s="19" t="str">
        <f>Backend!B22</f>
        <v>F</v>
      </c>
      <c r="D12" s="20" t="str">
        <f>Backend!C22</f>
        <v>Japón</v>
      </c>
      <c r="E12" s="19">
        <f>IF(D12="","",VLOOKUP(D12, Grupos!$L$6:$T$77, 9, FALSE))</f>
        <v>0</v>
      </c>
      <c r="F12" s="19">
        <f>IF(D12="","",VLOOKUP(D12, Grupos!$L$6:$S$77, 8, FALSE))</f>
        <v>0</v>
      </c>
      <c r="G12" s="21" t="str">
        <f>IF(Backend!C22="","",IF(7&lt;=8, "✅ Avanza", "❌ Eliminado"))</f>
        <v>✅ Avanza</v>
      </c>
    </row>
    <row r="13" spans="2:7" ht="16.5" customHeight="1" x14ac:dyDescent="0.25">
      <c r="B13" s="22">
        <v>8</v>
      </c>
      <c r="C13" s="22" t="str">
        <f>Backend!B23</f>
        <v>E</v>
      </c>
      <c r="D13" s="23" t="str">
        <f>Backend!C23</f>
        <v>Curaçao</v>
      </c>
      <c r="E13" s="22">
        <f>IF(D13="","",VLOOKUP(D13, Grupos!$L$6:$T$77, 9, FALSE))</f>
        <v>0</v>
      </c>
      <c r="F13" s="22">
        <f>IF(D13="","",VLOOKUP(D13, Grupos!$L$6:$S$77, 8, FALSE))</f>
        <v>0</v>
      </c>
      <c r="G13" s="21" t="str">
        <f>IF(Backend!C23="","",IF(8&lt;=8, "✅ Avanza", "❌ Eliminado"))</f>
        <v>✅ Avanza</v>
      </c>
    </row>
    <row r="14" spans="2:7" ht="16.5" customHeight="1" x14ac:dyDescent="0.25">
      <c r="B14" s="19">
        <v>9</v>
      </c>
      <c r="C14" s="19" t="str">
        <f>Backend!B24</f>
        <v>D</v>
      </c>
      <c r="D14" s="20" t="str">
        <f>Backend!C24</f>
        <v>Paraguay</v>
      </c>
      <c r="E14" s="19">
        <f>IF(D14="","",VLOOKUP(D14, Grupos!$L$6:$T$77, 9, FALSE))</f>
        <v>0</v>
      </c>
      <c r="F14" s="19">
        <f>IF(D14="","",VLOOKUP(D14, Grupos!$L$6:$S$77, 8, FALSE))</f>
        <v>0</v>
      </c>
      <c r="G14" s="24" t="str">
        <f>IF(Backend!C24="","",IF(9&lt;=8, "✅ Avanza", "❌ Eliminado"))</f>
        <v>❌ Eliminado</v>
      </c>
    </row>
    <row r="15" spans="2:7" ht="16.5" customHeight="1" x14ac:dyDescent="0.25">
      <c r="B15" s="22">
        <v>10</v>
      </c>
      <c r="C15" s="22" t="str">
        <f>Backend!B25</f>
        <v>C</v>
      </c>
      <c r="D15" s="23" t="str">
        <f>Backend!C25</f>
        <v>Marruecos</v>
      </c>
      <c r="E15" s="22">
        <f>IF(D15="","",VLOOKUP(D15, Grupos!$L$6:$T$77, 9, FALSE))</f>
        <v>0</v>
      </c>
      <c r="F15" s="22">
        <f>IF(D15="","",VLOOKUP(D15, Grupos!$L$6:$S$77, 8, FALSE))</f>
        <v>0</v>
      </c>
      <c r="G15" s="24" t="str">
        <f>IF(Backend!C25="","",IF(10&lt;=8, "✅ Avanza", "❌ Eliminado"))</f>
        <v>❌ Eliminado</v>
      </c>
    </row>
    <row r="16" spans="2:7" ht="16.5" customHeight="1" x14ac:dyDescent="0.25">
      <c r="B16" s="19">
        <v>11</v>
      </c>
      <c r="C16" s="19" t="str">
        <f>Backend!B26</f>
        <v>B</v>
      </c>
      <c r="D16" s="20" t="str">
        <f>Backend!C26</f>
        <v>Bosnia y Herze.</v>
      </c>
      <c r="E16" s="19">
        <f>IF(D16="","",VLOOKUP(D16, Grupos!$L$6:$T$77, 9, FALSE))</f>
        <v>0</v>
      </c>
      <c r="F16" s="19">
        <f>IF(D16="","",VLOOKUP(D16, Grupos!$L$6:$S$77, 8, FALSE))</f>
        <v>0</v>
      </c>
      <c r="G16" s="24" t="str">
        <f>IF(Backend!C26="","",IF(11&lt;=8, "✅ Avanza", "❌ Eliminado"))</f>
        <v>❌ Eliminado</v>
      </c>
    </row>
    <row r="17" spans="2:7" ht="16.5" customHeight="1" x14ac:dyDescent="0.25">
      <c r="B17" s="22">
        <v>12</v>
      </c>
      <c r="C17" s="22" t="str">
        <f>Backend!B27</f>
        <v>A</v>
      </c>
      <c r="D17" s="23" t="str">
        <f>Backend!C27</f>
        <v>Sudáfrica</v>
      </c>
      <c r="E17" s="22">
        <f>IF(D17="","",VLOOKUP(D17, Grupos!$L$6:$T$77, 9, FALSE))</f>
        <v>0</v>
      </c>
      <c r="F17" s="22">
        <f>IF(D17="","",VLOOKUP(D17, Grupos!$L$6:$S$77, 8, FALSE))</f>
        <v>0</v>
      </c>
      <c r="G17" s="24" t="str">
        <f>IF(Backend!C27="","",IF(12&lt;=8, "✅ Avanza", "❌ Eliminado"))</f>
        <v>❌ Eliminado</v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9"/>
  <sheetViews>
    <sheetView workbookViewId="0"/>
  </sheetViews>
  <sheetFormatPr defaultColWidth="9.140625" defaultRowHeight="15" x14ac:dyDescent="0.25"/>
  <sheetData>
    <row r="1" spans="1:5" x14ac:dyDescent="0.25">
      <c r="A1" t="s">
        <v>2</v>
      </c>
      <c r="B1" t="s">
        <v>186</v>
      </c>
      <c r="C1" t="s">
        <v>187</v>
      </c>
      <c r="D1" t="s">
        <v>188</v>
      </c>
      <c r="E1" t="s">
        <v>189</v>
      </c>
    </row>
    <row r="2" spans="1:5" x14ac:dyDescent="0.25">
      <c r="A2" t="s">
        <v>24</v>
      </c>
      <c r="B2" t="str">
        <f>INDEX(Grupos!$L$6:$L$9, MATCH(LARGE(Grupos!$U$6:$U$9, 1), Grupos!$U$6:$U$9, 0))</f>
        <v>Chequia</v>
      </c>
      <c r="C2" t="str">
        <f>INDEX(Grupos!$L$6:$L$9, MATCH(LARGE(Grupos!$U$6:$U$9, 2), Grupos!$U$6:$U$9, 0))</f>
        <v>Corea del Sur</v>
      </c>
      <c r="D2" t="str">
        <f>INDEX(Grupos!$L$6:$L$9, MATCH(LARGE(Grupos!$U$6:$U$9, 3), Grupos!$U$6:$U$9, 0))</f>
        <v>Sudáfrica</v>
      </c>
      <c r="E2">
        <f>LARGE(Grupos!$U$6:$U$9, 3)</f>
        <v>10001000.006999999</v>
      </c>
    </row>
    <row r="3" spans="1:5" x14ac:dyDescent="0.25">
      <c r="A3" t="s">
        <v>31</v>
      </c>
      <c r="B3" t="str">
        <f>INDEX(Grupos!$L$12:$L$15, MATCH(LARGE(Grupos!$U$12:$U$15, 1), Grupos!$U$12:$U$15, 0))</f>
        <v>Suiza</v>
      </c>
      <c r="C3" t="str">
        <f>INDEX(Grupos!$L$12:$L$15, MATCH(LARGE(Grupos!$U$12:$U$15, 2), Grupos!$U$12:$U$15, 0))</f>
        <v>Qatar</v>
      </c>
      <c r="D3" t="str">
        <f>INDEX(Grupos!$L$12:$L$15, MATCH(LARGE(Grupos!$U$12:$U$15, 3), Grupos!$U$12:$U$15, 0))</f>
        <v>Bosnia y Herze.</v>
      </c>
      <c r="E3">
        <f>LARGE(Grupos!$U$12:$U$15, 3)</f>
        <v>10001000.013</v>
      </c>
    </row>
    <row r="4" spans="1:5" x14ac:dyDescent="0.25">
      <c r="A4" t="s">
        <v>42</v>
      </c>
      <c r="B4" t="str">
        <f>INDEX(Grupos!$L$18:$L$21, MATCH(LARGE(Grupos!$U$18:$U$21, 1), Grupos!$U$18:$U$21, 0))</f>
        <v>Escocia</v>
      </c>
      <c r="C4" t="str">
        <f>INDEX(Grupos!$L$18:$L$21, MATCH(LARGE(Grupos!$U$18:$U$21, 2), Grupos!$U$18:$U$21, 0))</f>
        <v>Haití</v>
      </c>
      <c r="D4" t="str">
        <f>INDEX(Grupos!$L$18:$L$21, MATCH(LARGE(Grupos!$U$18:$U$21, 3), Grupos!$U$18:$U$21, 0))</f>
        <v>Marruecos</v>
      </c>
      <c r="E4">
        <f>LARGE(Grupos!$U$18:$U$21, 3)</f>
        <v>10001000.018999999</v>
      </c>
    </row>
    <row r="5" spans="1:5" x14ac:dyDescent="0.25">
      <c r="A5" t="s">
        <v>51</v>
      </c>
      <c r="B5" t="str">
        <f>INDEX(Grupos!$L$24:$L$27, MATCH(LARGE(Grupos!$U$24:$U$27, 1), Grupos!$U$24:$U$27, 0))</f>
        <v>Turquía</v>
      </c>
      <c r="C5" t="str">
        <f>INDEX(Grupos!$L$24:$L$27, MATCH(LARGE(Grupos!$U$24:$U$27, 2), Grupos!$U$24:$U$27, 0))</f>
        <v>Australia</v>
      </c>
      <c r="D5" t="str">
        <f>INDEX(Grupos!$L$24:$L$27, MATCH(LARGE(Grupos!$U$24:$U$27, 3), Grupos!$U$24:$U$27, 0))</f>
        <v>Paraguay</v>
      </c>
      <c r="E5">
        <f>LARGE(Grupos!$U$24:$U$27, 3)</f>
        <v>10001000.025</v>
      </c>
    </row>
    <row r="6" spans="1:5" x14ac:dyDescent="0.25">
      <c r="A6" t="s">
        <v>60</v>
      </c>
      <c r="B6" t="str">
        <f>INDEX(Grupos!$L$30:$L$33, MATCH(LARGE(Grupos!$U$30:$U$33, 1), Grupos!$U$30:$U$33, 0))</f>
        <v>Ecuador</v>
      </c>
      <c r="C6" t="str">
        <f>INDEX(Grupos!$L$30:$L$33, MATCH(LARGE(Grupos!$U$30:$U$33, 2), Grupos!$U$30:$U$33, 0))</f>
        <v>Costa de Marfil</v>
      </c>
      <c r="D6" t="str">
        <f>INDEX(Grupos!$L$30:$L$33, MATCH(LARGE(Grupos!$U$30:$U$33, 3), Grupos!$U$30:$U$33, 0))</f>
        <v>Curaçao</v>
      </c>
      <c r="E6">
        <f>LARGE(Grupos!$U$30:$U$33, 3)</f>
        <v>10001000.030999999</v>
      </c>
    </row>
    <row r="7" spans="1:5" x14ac:dyDescent="0.25">
      <c r="A7" t="s">
        <v>69</v>
      </c>
      <c r="B7" t="str">
        <f>INDEX(Grupos!$L$36:$L$39, MATCH(LARGE(Grupos!$U$36:$U$39, 1), Grupos!$U$36:$U$39, 0))</f>
        <v>Túnez</v>
      </c>
      <c r="C7" t="str">
        <f>INDEX(Grupos!$L$36:$L$39, MATCH(LARGE(Grupos!$U$36:$U$39, 2), Grupos!$U$36:$U$39, 0))</f>
        <v>Suecia</v>
      </c>
      <c r="D7" t="str">
        <f>INDEX(Grupos!$L$36:$L$39, MATCH(LARGE(Grupos!$U$36:$U$39, 3), Grupos!$U$36:$U$39, 0))</f>
        <v>Japón</v>
      </c>
      <c r="E7">
        <f>LARGE(Grupos!$U$36:$U$39, 3)</f>
        <v>10001000.037</v>
      </c>
    </row>
    <row r="8" spans="1:5" x14ac:dyDescent="0.25">
      <c r="A8" t="s">
        <v>80</v>
      </c>
      <c r="B8" t="str">
        <f>INDEX(Grupos!$L$42:$L$45, MATCH(LARGE(Grupos!$U$42:$U$45, 1), Grupos!$U$42:$U$45, 0))</f>
        <v>Nueva Zelanda</v>
      </c>
      <c r="C8" t="str">
        <f>INDEX(Grupos!$L$42:$L$45, MATCH(LARGE(Grupos!$U$42:$U$45, 2), Grupos!$U$42:$U$45, 0))</f>
        <v>Irán</v>
      </c>
      <c r="D8" t="str">
        <f>INDEX(Grupos!$L$42:$L$45, MATCH(LARGE(Grupos!$U$42:$U$45, 3), Grupos!$U$42:$U$45, 0))</f>
        <v>Egipto</v>
      </c>
      <c r="E8">
        <f>LARGE(Grupos!$U$42:$U$45, 3)</f>
        <v>10001000.043</v>
      </c>
    </row>
    <row r="9" spans="1:5" x14ac:dyDescent="0.25">
      <c r="A9" t="s">
        <v>90</v>
      </c>
      <c r="B9" t="str">
        <f>INDEX(Grupos!$L$48:$L$51, MATCH(LARGE(Grupos!$U$48:$U$51, 1), Grupos!$U$48:$U$51, 0))</f>
        <v>Uruguay</v>
      </c>
      <c r="C9" t="str">
        <f>INDEX(Grupos!$L$48:$L$51, MATCH(LARGE(Grupos!$U$48:$U$51, 2), Grupos!$U$48:$U$51, 0))</f>
        <v>Arabia Saud.</v>
      </c>
      <c r="D9" t="str">
        <f>INDEX(Grupos!$L$48:$L$51, MATCH(LARGE(Grupos!$U$48:$U$51, 3), Grupos!$U$48:$U$51, 0))</f>
        <v>Cabo Verde</v>
      </c>
      <c r="E9">
        <f>LARGE(Grupos!$U$48:$U$51, 3)</f>
        <v>10001000.049000001</v>
      </c>
    </row>
    <row r="10" spans="1:5" x14ac:dyDescent="0.25">
      <c r="A10" t="s">
        <v>99</v>
      </c>
      <c r="B10" t="str">
        <f>INDEX(Grupos!$L$54:$L$57, MATCH(LARGE(Grupos!$U$54:$U$57, 1), Grupos!$U$54:$U$57, 0))</f>
        <v>Noruega</v>
      </c>
      <c r="C10" t="str">
        <f>INDEX(Grupos!$L$54:$L$57, MATCH(LARGE(Grupos!$U$54:$U$57, 2), Grupos!$U$54:$U$57, 0))</f>
        <v>Irak</v>
      </c>
      <c r="D10" t="str">
        <f>INDEX(Grupos!$L$54:$L$57, MATCH(LARGE(Grupos!$U$54:$U$57, 3), Grupos!$U$54:$U$57, 0))</f>
        <v>Senegal</v>
      </c>
      <c r="E10">
        <f>LARGE(Grupos!$U$54:$U$57, 3)</f>
        <v>10001000.055</v>
      </c>
    </row>
    <row r="11" spans="1:5" x14ac:dyDescent="0.25">
      <c r="A11" t="s">
        <v>108</v>
      </c>
      <c r="B11" t="str">
        <f>INDEX(Grupos!$L$60:$L$63, MATCH(LARGE(Grupos!$U$60:$U$63, 1), Grupos!$U$60:$U$63, 0))</f>
        <v>Jordania</v>
      </c>
      <c r="C11" t="str">
        <f>INDEX(Grupos!$L$60:$L$63, MATCH(LARGE(Grupos!$U$60:$U$63, 2), Grupos!$U$60:$U$63, 0))</f>
        <v>Austria</v>
      </c>
      <c r="D11" t="str">
        <f>INDEX(Grupos!$L$60:$L$63, MATCH(LARGE(Grupos!$U$60:$U$63, 3), Grupos!$U$60:$U$63, 0))</f>
        <v>Argelia</v>
      </c>
      <c r="E11">
        <f>LARGE(Grupos!$U$60:$U$63, 3)</f>
        <v>10001000.061000001</v>
      </c>
    </row>
    <row r="12" spans="1:5" x14ac:dyDescent="0.25">
      <c r="A12" t="s">
        <v>119</v>
      </c>
      <c r="B12" t="str">
        <f>INDEX(Grupos!$L$66:$L$69, MATCH(LARGE(Grupos!$U$66:$U$69, 1), Grupos!$U$66:$U$69, 0))</f>
        <v>Colombia</v>
      </c>
      <c r="C12" t="str">
        <f>INDEX(Grupos!$L$66:$L$69, MATCH(LARGE(Grupos!$U$66:$U$69, 2), Grupos!$U$66:$U$69, 0))</f>
        <v>Uzbekistán</v>
      </c>
      <c r="D12" t="str">
        <f>INDEX(Grupos!$L$66:$L$69, MATCH(LARGE(Grupos!$U$66:$U$69, 3), Grupos!$U$66:$U$69, 0))</f>
        <v>RD Congo</v>
      </c>
      <c r="E12">
        <f>LARGE(Grupos!$U$66:$U$69, 3)</f>
        <v>10001000.067</v>
      </c>
    </row>
    <row r="13" spans="1:5" x14ac:dyDescent="0.25">
      <c r="A13" t="s">
        <v>128</v>
      </c>
      <c r="B13" t="str">
        <f>INDEX(Grupos!$L$72:$L$75, MATCH(LARGE(Grupos!$U$72:$U$75, 1), Grupos!$U$72:$U$75, 0))</f>
        <v>Panamá</v>
      </c>
      <c r="C13" t="str">
        <f>INDEX(Grupos!$L$72:$L$75, MATCH(LARGE(Grupos!$U$72:$U$75, 2), Grupos!$U$72:$U$75, 0))</f>
        <v>Ghana</v>
      </c>
      <c r="D13" t="str">
        <f>INDEX(Grupos!$L$72:$L$75, MATCH(LARGE(Grupos!$U$72:$U$75, 3), Grupos!$U$72:$U$75, 0))</f>
        <v>Croacia</v>
      </c>
      <c r="E13">
        <f>LARGE(Grupos!$U$72:$U$75, 3)</f>
        <v>10001000.073000001</v>
      </c>
    </row>
    <row r="14" spans="1:5" x14ac:dyDescent="0.25">
      <c r="B14" t="str">
        <f>B5</f>
        <v>Turquía</v>
      </c>
      <c r="C14" t="str">
        <f>INDEX($C$16:$C$23, MATCH(VLOOKUP($D$25, MatrizTerceros!$A$1:$I$495, 4, FALSE), $B$16:$B$23, 0))</f>
        <v>Senegal</v>
      </c>
    </row>
    <row r="15" spans="1:5" x14ac:dyDescent="0.25">
      <c r="A15" t="s">
        <v>190</v>
      </c>
      <c r="B15" t="s">
        <v>191</v>
      </c>
      <c r="C15" t="s">
        <v>192</v>
      </c>
    </row>
    <row r="16" spans="1:5" x14ac:dyDescent="0.25">
      <c r="A16">
        <f>LARGE($E$2:$E$13, 1)</f>
        <v>10001000.073000001</v>
      </c>
      <c r="B16" t="str">
        <f t="shared" ref="B16:B27" si="0">INDEX($A$2:$A$13, MATCH(A16, $E$2:$E$13, 0))</f>
        <v>L</v>
      </c>
      <c r="C16" t="str">
        <f t="shared" ref="C16:C27" si="1">INDEX($D$2:$D$13, MATCH(A16, $E$2:$E$13, 0))</f>
        <v>Croacia</v>
      </c>
    </row>
    <row r="17" spans="1:4" x14ac:dyDescent="0.25">
      <c r="A17">
        <f>LARGE($E$2:$E$13, 2)</f>
        <v>10001000.067</v>
      </c>
      <c r="B17" t="str">
        <f t="shared" si="0"/>
        <v>K</v>
      </c>
      <c r="C17" t="str">
        <f t="shared" si="1"/>
        <v>RD Congo</v>
      </c>
    </row>
    <row r="18" spans="1:4" x14ac:dyDescent="0.25">
      <c r="A18">
        <f>LARGE($E$2:$E$13, 3)</f>
        <v>10001000.061000001</v>
      </c>
      <c r="B18" t="str">
        <f t="shared" si="0"/>
        <v>J</v>
      </c>
      <c r="C18" t="str">
        <f t="shared" si="1"/>
        <v>Argelia</v>
      </c>
    </row>
    <row r="19" spans="1:4" x14ac:dyDescent="0.25">
      <c r="A19">
        <f>LARGE($E$2:$E$13, 4)</f>
        <v>10001000.055</v>
      </c>
      <c r="B19" t="str">
        <f t="shared" si="0"/>
        <v>I</v>
      </c>
      <c r="C19" t="str">
        <f t="shared" si="1"/>
        <v>Senegal</v>
      </c>
    </row>
    <row r="20" spans="1:4" x14ac:dyDescent="0.25">
      <c r="A20">
        <f>LARGE($E$2:$E$13, 5)</f>
        <v>10001000.049000001</v>
      </c>
      <c r="B20" t="str">
        <f t="shared" si="0"/>
        <v>H</v>
      </c>
      <c r="C20" t="str">
        <f t="shared" si="1"/>
        <v>Cabo Verde</v>
      </c>
    </row>
    <row r="21" spans="1:4" x14ac:dyDescent="0.25">
      <c r="A21">
        <f>LARGE($E$2:$E$13, 6)</f>
        <v>10001000.043</v>
      </c>
      <c r="B21" t="str">
        <f t="shared" si="0"/>
        <v>G</v>
      </c>
      <c r="C21" t="str">
        <f t="shared" si="1"/>
        <v>Egipto</v>
      </c>
    </row>
    <row r="22" spans="1:4" x14ac:dyDescent="0.25">
      <c r="A22">
        <f>LARGE($E$2:$E$13, 7)</f>
        <v>10001000.037</v>
      </c>
      <c r="B22" t="str">
        <f t="shared" si="0"/>
        <v>F</v>
      </c>
      <c r="C22" t="str">
        <f t="shared" si="1"/>
        <v>Japón</v>
      </c>
    </row>
    <row r="23" spans="1:4" x14ac:dyDescent="0.25">
      <c r="A23">
        <f>LARGE($E$2:$E$13, 8)</f>
        <v>10001000.030999999</v>
      </c>
      <c r="B23" t="str">
        <f t="shared" si="0"/>
        <v>E</v>
      </c>
      <c r="C23" t="str">
        <f t="shared" si="1"/>
        <v>Curaçao</v>
      </c>
    </row>
    <row r="24" spans="1:4" x14ac:dyDescent="0.25">
      <c r="A24">
        <f>LARGE($E$2:$E$13, 9)</f>
        <v>10001000.025</v>
      </c>
      <c r="B24" t="str">
        <f t="shared" si="0"/>
        <v>D</v>
      </c>
      <c r="C24" t="str">
        <f t="shared" si="1"/>
        <v>Paraguay</v>
      </c>
    </row>
    <row r="25" spans="1:4" x14ac:dyDescent="0.25">
      <c r="A25">
        <f>LARGE($E$2:$E$13, 10)</f>
        <v>10001000.018999999</v>
      </c>
      <c r="B25" t="str">
        <f t="shared" si="0"/>
        <v>C</v>
      </c>
      <c r="C25" t="str">
        <f t="shared" si="1"/>
        <v>Marruecos</v>
      </c>
      <c r="D25" t="str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>EFGHIJKL</v>
      </c>
    </row>
    <row r="26" spans="1:4" x14ac:dyDescent="0.25">
      <c r="A26">
        <f>LARGE($E$2:$E$13, 11)</f>
        <v>10001000.013</v>
      </c>
      <c r="B26" t="str">
        <f t="shared" si="0"/>
        <v>B</v>
      </c>
      <c r="C26" t="str">
        <f t="shared" si="1"/>
        <v>Bosnia y Herze.</v>
      </c>
    </row>
    <row r="27" spans="1:4" x14ac:dyDescent="0.25">
      <c r="A27">
        <f>LARGE($E$2:$E$13, 12)</f>
        <v>10001000.006999999</v>
      </c>
      <c r="B27" t="str">
        <f t="shared" si="0"/>
        <v>A</v>
      </c>
      <c r="C27" t="str">
        <f t="shared" si="1"/>
        <v>Sudáfrica</v>
      </c>
    </row>
    <row r="29" spans="1:4" x14ac:dyDescent="0.25">
      <c r="A29" t="s">
        <v>193</v>
      </c>
      <c r="B29" t="s">
        <v>194</v>
      </c>
      <c r="C29" t="s">
        <v>195</v>
      </c>
      <c r="D29" t="str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>EFGHIJKL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workbookViewId="0">
      <selection activeCell="C6" sqref="C6"/>
    </sheetView>
  </sheetViews>
  <sheetFormatPr defaultColWidth="9.140625" defaultRowHeight="15" x14ac:dyDescent="0.25"/>
  <cols>
    <col min="2" max="2" width="20" customWidth="1"/>
    <col min="3" max="3" width="10" style="40" customWidth="1"/>
    <col min="4" max="4" width="6" customWidth="1"/>
    <col min="5" max="5" width="3" customWidth="1"/>
    <col min="6" max="6" width="6" customWidth="1"/>
    <col min="7" max="7" width="10.42578125" style="40" customWidth="1"/>
    <col min="8" max="9" width="18" customWidth="1"/>
    <col min="10" max="10" width="56.5703125" customWidth="1"/>
    <col min="12" max="12" width="9.140625" style="7"/>
  </cols>
  <sheetData>
    <row r="1" spans="1:24" ht="16.5" customHeight="1" x14ac:dyDescent="0.25">
      <c r="A1" s="50" t="s">
        <v>196</v>
      </c>
      <c r="B1" s="49"/>
      <c r="C1" s="49"/>
      <c r="D1" s="49"/>
      <c r="E1" s="49"/>
      <c r="F1" s="49"/>
      <c r="G1" s="49"/>
      <c r="H1" s="49"/>
      <c r="I1" s="49"/>
      <c r="J1" s="2"/>
    </row>
    <row r="2" spans="1:24" ht="16.5" customHeight="1" x14ac:dyDescent="0.25">
      <c r="A2" s="49"/>
      <c r="B2" s="49"/>
      <c r="C2" s="49"/>
      <c r="D2" s="49"/>
      <c r="E2" s="49"/>
      <c r="F2" s="49"/>
      <c r="G2" s="49"/>
      <c r="H2" s="49"/>
      <c r="I2" s="49"/>
      <c r="J2" s="2"/>
    </row>
    <row r="4" spans="1:24" ht="18.75" customHeight="1" thickBot="1" x14ac:dyDescent="0.4">
      <c r="A4" s="54" t="s">
        <v>197</v>
      </c>
      <c r="B4" s="49"/>
      <c r="C4" s="49"/>
      <c r="D4" s="49"/>
      <c r="E4" s="49"/>
      <c r="F4" s="49"/>
      <c r="G4" s="49"/>
      <c r="H4" s="49"/>
      <c r="I4" s="49"/>
      <c r="J4" s="26"/>
    </row>
    <row r="5" spans="1:24" ht="16.5" customHeight="1" x14ac:dyDescent="0.25">
      <c r="A5" s="2" t="s">
        <v>198</v>
      </c>
      <c r="B5" s="2" t="s">
        <v>199</v>
      </c>
      <c r="C5" s="2" t="s">
        <v>4</v>
      </c>
      <c r="D5" s="45" t="s">
        <v>200</v>
      </c>
      <c r="E5" s="2" t="s">
        <v>5</v>
      </c>
      <c r="F5" s="45" t="s">
        <v>200</v>
      </c>
      <c r="G5" s="2" t="s">
        <v>4</v>
      </c>
      <c r="H5" s="2" t="s">
        <v>201</v>
      </c>
      <c r="I5" s="2" t="s">
        <v>202</v>
      </c>
      <c r="J5" s="2" t="s">
        <v>203</v>
      </c>
      <c r="L5" s="32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4"/>
    </row>
    <row r="6" spans="1:24" x14ac:dyDescent="0.25">
      <c r="A6" s="5" t="s">
        <v>204</v>
      </c>
      <c r="B6" t="str">
        <f>Backend!C2</f>
        <v>Corea del Sur</v>
      </c>
      <c r="C6" s="43"/>
      <c r="D6" s="46"/>
      <c r="E6" s="5" t="s">
        <v>21</v>
      </c>
      <c r="F6" s="47"/>
      <c r="G6" s="43"/>
      <c r="H6" t="str">
        <f>Backend!C3</f>
        <v>Qatar</v>
      </c>
      <c r="I6" t="str">
        <f t="shared" ref="I6:I21" si="0">IF(OR(C6="", G6=""), "", IF(C6&gt;G6, B6, IF(G6&gt;C6, H6, IF(D6&gt;F6, B6, IF(F6&gt;D6, H6, "Faltan Penales")))))</f>
        <v/>
      </c>
      <c r="J6" t="s">
        <v>205</v>
      </c>
      <c r="L6" s="35"/>
      <c r="M6" s="29"/>
      <c r="N6" s="55" t="s">
        <v>1335</v>
      </c>
      <c r="O6" s="7"/>
      <c r="P6" s="7"/>
      <c r="Q6" s="7"/>
      <c r="R6" s="7"/>
      <c r="S6" s="7"/>
      <c r="T6" s="7"/>
      <c r="U6" s="7"/>
      <c r="V6" s="7"/>
      <c r="W6" s="7"/>
      <c r="X6" s="36"/>
    </row>
    <row r="7" spans="1:24" x14ac:dyDescent="0.25">
      <c r="A7" s="5" t="s">
        <v>206</v>
      </c>
      <c r="B7" t="str">
        <f>Backend!B7</f>
        <v>Túnez</v>
      </c>
      <c r="C7" s="43"/>
      <c r="D7" s="46"/>
      <c r="E7" s="5" t="s">
        <v>21</v>
      </c>
      <c r="F7" s="47"/>
      <c r="G7" s="43"/>
      <c r="H7" t="str">
        <f>Backend!C4</f>
        <v>Haití</v>
      </c>
      <c r="I7" t="str">
        <f t="shared" si="0"/>
        <v/>
      </c>
      <c r="J7" t="s">
        <v>207</v>
      </c>
      <c r="L7" s="35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36"/>
    </row>
    <row r="8" spans="1:24" x14ac:dyDescent="0.25">
      <c r="A8" s="5" t="s">
        <v>208</v>
      </c>
      <c r="B8" t="str">
        <f>Backend!B6</f>
        <v>Ecuador</v>
      </c>
      <c r="C8" s="43"/>
      <c r="D8" s="46"/>
      <c r="E8" s="5" t="s">
        <v>21</v>
      </c>
      <c r="F8" s="47"/>
      <c r="G8" s="43"/>
      <c r="H8" t="str">
        <f>IFERROR(INDEX(Backend!$C$16:$C$23, MATCH(VLOOKUP(Backend!$D$29, MatrizTerceros!$A$1:$I$495, 5, FALSE), Backend!$B$16:$B$23, 0)), "")</f>
        <v>Japón</v>
      </c>
      <c r="I8" t="str">
        <f t="shared" si="0"/>
        <v/>
      </c>
      <c r="J8" t="s">
        <v>209</v>
      </c>
      <c r="L8" s="35"/>
      <c r="M8" s="31"/>
      <c r="N8" s="55" t="s">
        <v>1334</v>
      </c>
      <c r="O8" s="7"/>
      <c r="P8" s="7"/>
      <c r="Q8" s="7"/>
      <c r="R8" s="7"/>
      <c r="S8" s="7"/>
      <c r="T8" s="7"/>
      <c r="U8" s="7"/>
      <c r="V8" s="7"/>
      <c r="W8" s="7"/>
      <c r="X8" s="36"/>
    </row>
    <row r="9" spans="1:24" ht="15.75" thickBot="1" x14ac:dyDescent="0.3">
      <c r="A9" s="5" t="s">
        <v>210</v>
      </c>
      <c r="B9" t="str">
        <f>Backend!B10</f>
        <v>Noruega</v>
      </c>
      <c r="C9" s="43"/>
      <c r="D9" s="46"/>
      <c r="E9" s="5" t="s">
        <v>21</v>
      </c>
      <c r="F9" s="47"/>
      <c r="G9" s="43"/>
      <c r="H9" t="str">
        <f>IFERROR(INDEX(Backend!$C$16:$C$23, MATCH(VLOOKUP(Backend!$D$29, MatrizTerceros!$A$1:$I$495, 7, FALSE), Backend!$B$16:$B$23, 0)), "")</f>
        <v>Cabo Verde</v>
      </c>
      <c r="I9" t="str">
        <f t="shared" si="0"/>
        <v/>
      </c>
      <c r="J9" t="s">
        <v>211</v>
      </c>
      <c r="L9" s="37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9"/>
    </row>
    <row r="10" spans="1:24" x14ac:dyDescent="0.25">
      <c r="A10" s="5" t="s">
        <v>212</v>
      </c>
      <c r="B10" t="str">
        <f>Backend!B4</f>
        <v>Escocia</v>
      </c>
      <c r="C10" s="43"/>
      <c r="D10" s="46"/>
      <c r="E10" s="5" t="s">
        <v>21</v>
      </c>
      <c r="F10" s="47"/>
      <c r="G10" s="43"/>
      <c r="H10" t="str">
        <f>Backend!C7</f>
        <v>Suecia</v>
      </c>
      <c r="I10" t="str">
        <f t="shared" si="0"/>
        <v/>
      </c>
      <c r="J10" t="s">
        <v>213</v>
      </c>
    </row>
    <row r="11" spans="1:24" x14ac:dyDescent="0.25">
      <c r="A11" s="5" t="s">
        <v>214</v>
      </c>
      <c r="B11" t="str">
        <f>Backend!C6</f>
        <v>Costa de Marfil</v>
      </c>
      <c r="C11" s="43"/>
      <c r="D11" s="46"/>
      <c r="E11" s="5" t="s">
        <v>21</v>
      </c>
      <c r="F11" s="47"/>
      <c r="G11" s="43"/>
      <c r="H11" t="str">
        <f>Backend!C10</f>
        <v>Irak</v>
      </c>
      <c r="I11" t="str">
        <f t="shared" si="0"/>
        <v/>
      </c>
      <c r="J11" t="s">
        <v>215</v>
      </c>
    </row>
    <row r="12" spans="1:24" x14ac:dyDescent="0.25">
      <c r="A12" s="5" t="s">
        <v>216</v>
      </c>
      <c r="B12" t="str">
        <f>Backend!B2</f>
        <v>Chequia</v>
      </c>
      <c r="C12" s="43"/>
      <c r="D12" s="46"/>
      <c r="E12" s="5" t="s">
        <v>21</v>
      </c>
      <c r="F12" s="47"/>
      <c r="G12" s="43"/>
      <c r="H12" t="str">
        <f>IFERROR(INDEX(Backend!$C$16:$C$23, MATCH(VLOOKUP(Backend!$D$29, MatrizTerceros!$A$1:$I$495, 2, FALSE), Backend!$B$16:$B$23, 0)), "")</f>
        <v>Curaçao</v>
      </c>
      <c r="I12" t="str">
        <f t="shared" si="0"/>
        <v/>
      </c>
      <c r="J12" t="s">
        <v>217</v>
      </c>
    </row>
    <row r="13" spans="1:24" x14ac:dyDescent="0.25">
      <c r="A13" s="5" t="s">
        <v>218</v>
      </c>
      <c r="B13" t="str">
        <f>Backend!B13</f>
        <v>Panamá</v>
      </c>
      <c r="C13" s="43"/>
      <c r="D13" s="46"/>
      <c r="E13" s="5" t="s">
        <v>21</v>
      </c>
      <c r="F13" s="47"/>
      <c r="G13" s="43"/>
      <c r="H13" t="str">
        <f>IFERROR(INDEX(Backend!$C$16:$C$23, MATCH(VLOOKUP(Backend!$D$29, MatrizTerceros!$A$1:$I$495, 9, FALSE), Backend!$B$16:$B$23, 0)), "")</f>
        <v>RD Congo</v>
      </c>
      <c r="I13" t="str">
        <f t="shared" si="0"/>
        <v/>
      </c>
      <c r="J13" t="s">
        <v>219</v>
      </c>
    </row>
    <row r="14" spans="1:24" x14ac:dyDescent="0.25">
      <c r="A14" s="5" t="s">
        <v>220</v>
      </c>
      <c r="B14" t="str">
        <f>Backend!B5</f>
        <v>Turquía</v>
      </c>
      <c r="C14" s="43"/>
      <c r="D14" s="46"/>
      <c r="E14" s="5" t="s">
        <v>21</v>
      </c>
      <c r="F14" s="47"/>
      <c r="G14" s="43"/>
      <c r="H14" t="str">
        <f>IFERROR(INDEX(Backend!$C$16:$C$23, MATCH(VLOOKUP(Backend!$D$29, MatrizTerceros!$A$1:$I$495, 4, FALSE), Backend!$B$16:$B$23, 0)), "")</f>
        <v>Senegal</v>
      </c>
      <c r="I14" t="str">
        <f t="shared" si="0"/>
        <v/>
      </c>
      <c r="J14" t="s">
        <v>221</v>
      </c>
    </row>
    <row r="15" spans="1:24" x14ac:dyDescent="0.25">
      <c r="A15" s="5" t="s">
        <v>222</v>
      </c>
      <c r="B15" t="str">
        <f>Backend!B8</f>
        <v>Nueva Zelanda</v>
      </c>
      <c r="C15" s="43"/>
      <c r="D15" s="46"/>
      <c r="E15" s="5" t="s">
        <v>21</v>
      </c>
      <c r="F15" s="47"/>
      <c r="G15" s="43"/>
      <c r="H15" t="str">
        <f>IFERROR(INDEX(Backend!$C$16:$C$23, MATCH(VLOOKUP(Backend!$D$29, MatrizTerceros!$A$1:$I$495, 6, FALSE), Backend!$B$16:$B$23, 0)), "")</f>
        <v>Argelia</v>
      </c>
      <c r="I15" t="str">
        <f t="shared" si="0"/>
        <v/>
      </c>
      <c r="J15" t="s">
        <v>223</v>
      </c>
    </row>
    <row r="16" spans="1:24" x14ac:dyDescent="0.25">
      <c r="A16" s="5" t="s">
        <v>224</v>
      </c>
      <c r="B16" t="str">
        <f>Backend!C12</f>
        <v>Uzbekistán</v>
      </c>
      <c r="C16" s="43"/>
      <c r="D16" s="46"/>
      <c r="E16" s="5" t="s">
        <v>21</v>
      </c>
      <c r="F16" s="47"/>
      <c r="G16" s="43"/>
      <c r="H16" t="str">
        <f>Backend!C13</f>
        <v>Ghana</v>
      </c>
      <c r="I16" t="str">
        <f t="shared" si="0"/>
        <v/>
      </c>
      <c r="J16" t="s">
        <v>225</v>
      </c>
    </row>
    <row r="17" spans="1:10" x14ac:dyDescent="0.25">
      <c r="A17" s="5" t="s">
        <v>226</v>
      </c>
      <c r="B17" t="str">
        <f>Backend!B9</f>
        <v>Uruguay</v>
      </c>
      <c r="C17" s="43"/>
      <c r="D17" s="46"/>
      <c r="E17" s="5" t="s">
        <v>21</v>
      </c>
      <c r="F17" s="47"/>
      <c r="G17" s="43"/>
      <c r="H17" t="str">
        <f>Backend!C11</f>
        <v>Austria</v>
      </c>
      <c r="I17" t="str">
        <f t="shared" si="0"/>
        <v/>
      </c>
      <c r="J17" t="s">
        <v>227</v>
      </c>
    </row>
    <row r="18" spans="1:10" x14ac:dyDescent="0.25">
      <c r="A18" s="5" t="s">
        <v>228</v>
      </c>
      <c r="B18" t="str">
        <f>Backend!B3</f>
        <v>Suiza</v>
      </c>
      <c r="C18" s="43"/>
      <c r="D18" s="46"/>
      <c r="E18" s="5" t="s">
        <v>21</v>
      </c>
      <c r="F18" s="47"/>
      <c r="G18" s="43"/>
      <c r="H18" t="str">
        <f>IFERROR(INDEX(Backend!$C$16:$C$23, MATCH(VLOOKUP(Backend!$D$29, MatrizTerceros!$A$1:$I$495, 3, FALSE), Backend!$B$16:$B$23, 0)), "")</f>
        <v>Egipto</v>
      </c>
      <c r="I18" t="str">
        <f t="shared" si="0"/>
        <v/>
      </c>
      <c r="J18" t="s">
        <v>229</v>
      </c>
    </row>
    <row r="19" spans="1:10" x14ac:dyDescent="0.25">
      <c r="A19" s="5" t="s">
        <v>230</v>
      </c>
      <c r="B19" t="str">
        <f>Backend!B12</f>
        <v>Colombia</v>
      </c>
      <c r="C19" s="43"/>
      <c r="D19" s="46"/>
      <c r="E19" s="5" t="s">
        <v>21</v>
      </c>
      <c r="F19" s="47"/>
      <c r="G19" s="43"/>
      <c r="H19" t="str">
        <f>IFERROR(INDEX(Backend!$C$16:$C$23, MATCH(VLOOKUP(Backend!$D$29, MatrizTerceros!$A$1:$I$495, 8, FALSE), Backend!$B$16:$B$23, 0)), "")</f>
        <v>Croacia</v>
      </c>
      <c r="I19" t="str">
        <f t="shared" si="0"/>
        <v/>
      </c>
      <c r="J19" t="s">
        <v>231</v>
      </c>
    </row>
    <row r="20" spans="1:10" x14ac:dyDescent="0.25">
      <c r="A20" s="5" t="s">
        <v>232</v>
      </c>
      <c r="B20" t="str">
        <f>Backend!B11</f>
        <v>Jordania</v>
      </c>
      <c r="C20" s="43"/>
      <c r="D20" s="46"/>
      <c r="E20" s="5" t="s">
        <v>21</v>
      </c>
      <c r="F20" s="47"/>
      <c r="G20" s="43"/>
      <c r="H20" t="str">
        <f>Backend!C9</f>
        <v>Arabia Saud.</v>
      </c>
      <c r="I20" t="str">
        <f t="shared" si="0"/>
        <v/>
      </c>
      <c r="J20" t="s">
        <v>233</v>
      </c>
    </row>
    <row r="21" spans="1:10" x14ac:dyDescent="0.25">
      <c r="A21" s="5" t="s">
        <v>234</v>
      </c>
      <c r="B21" t="str">
        <f>Backend!C5</f>
        <v>Australia</v>
      </c>
      <c r="C21" s="43"/>
      <c r="D21" s="46"/>
      <c r="E21" s="5" t="s">
        <v>21</v>
      </c>
      <c r="F21" s="47"/>
      <c r="G21" s="43"/>
      <c r="H21" t="str">
        <f>Backend!C8</f>
        <v>Irán</v>
      </c>
      <c r="I21" t="str">
        <f t="shared" si="0"/>
        <v/>
      </c>
      <c r="J21" t="s">
        <v>235</v>
      </c>
    </row>
    <row r="23" spans="1:10" ht="18.75" customHeight="1" x14ac:dyDescent="0.35">
      <c r="A23" s="54" t="s">
        <v>236</v>
      </c>
      <c r="B23" s="49"/>
      <c r="C23" s="49"/>
      <c r="D23" s="49"/>
      <c r="E23" s="49"/>
      <c r="F23" s="49"/>
      <c r="G23" s="49"/>
      <c r="H23" s="49"/>
      <c r="I23" s="49"/>
      <c r="J23" s="26"/>
    </row>
    <row r="25" spans="1:10" x14ac:dyDescent="0.25">
      <c r="A25" t="s">
        <v>237</v>
      </c>
      <c r="B25" t="str">
        <f>I6</f>
        <v/>
      </c>
      <c r="C25" s="43"/>
      <c r="D25" s="46"/>
      <c r="E25" s="5" t="s">
        <v>21</v>
      </c>
      <c r="F25" s="47"/>
      <c r="G25" s="43"/>
      <c r="H25" t="str">
        <f>I7</f>
        <v/>
      </c>
      <c r="I25" t="str">
        <f t="shared" ref="I25:I32" si="1">IF(OR(C25="", G25=""), "", IF(C25&gt;G25, B25, IF(G25&gt;C25, H25, IF(D25&gt;F25, B25, IF(F25&gt;D25, H25, "Faltan Penales")))))</f>
        <v/>
      </c>
      <c r="J25" t="s">
        <v>238</v>
      </c>
    </row>
    <row r="26" spans="1:10" x14ac:dyDescent="0.25">
      <c r="A26" t="s">
        <v>239</v>
      </c>
      <c r="B26" t="str">
        <f>I8</f>
        <v/>
      </c>
      <c r="C26" s="43"/>
      <c r="D26" s="46"/>
      <c r="E26" s="5" t="s">
        <v>21</v>
      </c>
      <c r="F26" s="47"/>
      <c r="G26" s="43"/>
      <c r="H26" t="str">
        <f>I9</f>
        <v/>
      </c>
      <c r="I26" t="str">
        <f t="shared" si="1"/>
        <v/>
      </c>
      <c r="J26" t="s">
        <v>240</v>
      </c>
    </row>
    <row r="27" spans="1:10" x14ac:dyDescent="0.25">
      <c r="A27" t="s">
        <v>241</v>
      </c>
      <c r="B27" t="str">
        <f>I10</f>
        <v/>
      </c>
      <c r="C27" s="43"/>
      <c r="D27" s="46"/>
      <c r="E27" s="5" t="s">
        <v>21</v>
      </c>
      <c r="F27" s="47"/>
      <c r="G27" s="43"/>
      <c r="H27" t="str">
        <f>I11</f>
        <v/>
      </c>
      <c r="I27" t="str">
        <f t="shared" si="1"/>
        <v/>
      </c>
      <c r="J27" t="s">
        <v>242</v>
      </c>
    </row>
    <row r="28" spans="1:10" x14ac:dyDescent="0.25">
      <c r="A28" t="s">
        <v>243</v>
      </c>
      <c r="B28" t="str">
        <f>I12</f>
        <v/>
      </c>
      <c r="C28" s="43"/>
      <c r="D28" s="46"/>
      <c r="E28" s="5" t="s">
        <v>21</v>
      </c>
      <c r="F28" s="47"/>
      <c r="G28" s="43"/>
      <c r="H28" t="str">
        <f>I13</f>
        <v/>
      </c>
      <c r="I28" t="str">
        <f t="shared" si="1"/>
        <v/>
      </c>
      <c r="J28" t="s">
        <v>244</v>
      </c>
    </row>
    <row r="29" spans="1:10" x14ac:dyDescent="0.25">
      <c r="A29" t="s">
        <v>245</v>
      </c>
      <c r="B29" t="str">
        <f>I14</f>
        <v/>
      </c>
      <c r="C29" s="43"/>
      <c r="D29" s="46"/>
      <c r="E29" s="5" t="s">
        <v>21</v>
      </c>
      <c r="F29" s="47"/>
      <c r="G29" s="43"/>
      <c r="H29" t="str">
        <f>I15</f>
        <v/>
      </c>
      <c r="I29" t="str">
        <f t="shared" si="1"/>
        <v/>
      </c>
      <c r="J29" t="s">
        <v>246</v>
      </c>
    </row>
    <row r="30" spans="1:10" x14ac:dyDescent="0.25">
      <c r="A30" t="s">
        <v>247</v>
      </c>
      <c r="B30" t="str">
        <f>I16</f>
        <v/>
      </c>
      <c r="C30" s="43"/>
      <c r="D30" s="46"/>
      <c r="E30" s="5" t="s">
        <v>21</v>
      </c>
      <c r="F30" s="47"/>
      <c r="G30" s="43"/>
      <c r="H30" t="str">
        <f>I17</f>
        <v/>
      </c>
      <c r="I30" t="str">
        <f t="shared" si="1"/>
        <v/>
      </c>
      <c r="J30" t="s">
        <v>248</v>
      </c>
    </row>
    <row r="31" spans="1:10" x14ac:dyDescent="0.25">
      <c r="A31" t="s">
        <v>249</v>
      </c>
      <c r="B31" t="str">
        <f>I18</f>
        <v/>
      </c>
      <c r="C31" s="43"/>
      <c r="D31" s="46"/>
      <c r="E31" s="5" t="s">
        <v>21</v>
      </c>
      <c r="F31" s="47"/>
      <c r="G31" s="43"/>
      <c r="H31" t="str">
        <f>I19</f>
        <v/>
      </c>
      <c r="I31" t="str">
        <f t="shared" si="1"/>
        <v/>
      </c>
      <c r="J31" t="s">
        <v>250</v>
      </c>
    </row>
    <row r="32" spans="1:10" x14ac:dyDescent="0.25">
      <c r="A32" t="s">
        <v>251</v>
      </c>
      <c r="B32" t="str">
        <f>I20</f>
        <v/>
      </c>
      <c r="C32" s="43"/>
      <c r="D32" s="46"/>
      <c r="E32" s="5" t="s">
        <v>21</v>
      </c>
      <c r="F32" s="47"/>
      <c r="G32" s="43"/>
      <c r="H32" t="str">
        <f>I21</f>
        <v/>
      </c>
      <c r="I32" t="str">
        <f t="shared" si="1"/>
        <v/>
      </c>
      <c r="J32" t="s">
        <v>252</v>
      </c>
    </row>
    <row r="33" spans="1:10" x14ac:dyDescent="0.25">
      <c r="A33" s="7"/>
      <c r="B33" s="7"/>
      <c r="C33" s="44"/>
      <c r="E33" s="7"/>
      <c r="G33" s="44"/>
      <c r="H33" s="7"/>
      <c r="I33" s="7"/>
    </row>
    <row r="34" spans="1:10" x14ac:dyDescent="0.25">
      <c r="A34" s="7"/>
      <c r="B34" s="7"/>
      <c r="C34" s="44"/>
      <c r="E34" s="7"/>
      <c r="G34" s="44"/>
      <c r="H34" s="7"/>
      <c r="I34" s="7"/>
    </row>
    <row r="35" spans="1:10" ht="18.75" customHeight="1" x14ac:dyDescent="0.25">
      <c r="A35" s="52" t="s">
        <v>253</v>
      </c>
      <c r="B35" s="49"/>
      <c r="C35" s="49"/>
      <c r="D35" s="49"/>
      <c r="E35" s="49"/>
      <c r="F35" s="49"/>
      <c r="G35" s="49"/>
      <c r="H35" s="49"/>
      <c r="I35" s="49"/>
      <c r="J35" s="26"/>
    </row>
    <row r="36" spans="1:10" ht="16.5" customHeight="1" x14ac:dyDescent="0.25">
      <c r="A36" s="2" t="s">
        <v>198</v>
      </c>
      <c r="B36" s="2" t="s">
        <v>199</v>
      </c>
      <c r="C36" s="2" t="s">
        <v>4</v>
      </c>
      <c r="D36" s="45" t="s">
        <v>200</v>
      </c>
      <c r="E36" s="2" t="s">
        <v>5</v>
      </c>
      <c r="F36" s="45" t="s">
        <v>200</v>
      </c>
      <c r="G36" s="2" t="s">
        <v>4</v>
      </c>
      <c r="H36" s="2" t="s">
        <v>201</v>
      </c>
      <c r="I36" s="2" t="s">
        <v>202</v>
      </c>
      <c r="J36" s="2" t="s">
        <v>203</v>
      </c>
    </row>
    <row r="37" spans="1:10" x14ac:dyDescent="0.25">
      <c r="A37" s="5" t="s">
        <v>254</v>
      </c>
      <c r="B37" t="str">
        <f>I25</f>
        <v/>
      </c>
      <c r="C37" s="43"/>
      <c r="D37" s="46"/>
      <c r="E37" s="5" t="s">
        <v>21</v>
      </c>
      <c r="F37" s="47"/>
      <c r="G37" s="43"/>
      <c r="H37" t="str">
        <f>I26</f>
        <v/>
      </c>
      <c r="I37" t="str">
        <f>IF(OR(C37="", G37=""), "", IF(C37&gt;G37, B37, IF(G37&gt;C37, H37, IF(D37&gt;F37, B37, IF(F37&gt;D37, H37, "Faltan Penales")))))</f>
        <v/>
      </c>
      <c r="J37" t="s">
        <v>255</v>
      </c>
    </row>
    <row r="38" spans="1:10" x14ac:dyDescent="0.25">
      <c r="A38" s="5" t="s">
        <v>256</v>
      </c>
      <c r="B38" t="str">
        <f>I27</f>
        <v/>
      </c>
      <c r="C38" s="43"/>
      <c r="D38" s="46"/>
      <c r="E38" s="5" t="s">
        <v>21</v>
      </c>
      <c r="F38" s="47"/>
      <c r="G38" s="43"/>
      <c r="H38" t="str">
        <f>I28</f>
        <v/>
      </c>
      <c r="I38" t="str">
        <f>IF(OR(C38="", G38=""), "", IF(C38&gt;G38, B38, IF(G38&gt;C38, H38, IF(D38&gt;F38, B38, IF(F38&gt;D38, H38, "Faltan Penales")))))</f>
        <v/>
      </c>
      <c r="J38" t="s">
        <v>257</v>
      </c>
    </row>
    <row r="39" spans="1:10" x14ac:dyDescent="0.25">
      <c r="A39" s="5" t="s">
        <v>258</v>
      </c>
      <c r="B39" t="str">
        <f>I29</f>
        <v/>
      </c>
      <c r="C39" s="43"/>
      <c r="D39" s="46"/>
      <c r="E39" s="5" t="s">
        <v>21</v>
      </c>
      <c r="F39" s="47"/>
      <c r="G39" s="43"/>
      <c r="H39" t="str">
        <f>I30</f>
        <v/>
      </c>
      <c r="I39" t="str">
        <f>IF(OR(C39="", G39=""), "", IF(C39&gt;G39, B39, IF(G39&gt;C39, H39, IF(D39&gt;F39, B39, IF(F39&gt;D39, H39, "Faltan Penales")))))</f>
        <v/>
      </c>
      <c r="J39" t="s">
        <v>259</v>
      </c>
    </row>
    <row r="40" spans="1:10" x14ac:dyDescent="0.25">
      <c r="A40" s="5" t="s">
        <v>260</v>
      </c>
      <c r="B40" t="str">
        <f>I31</f>
        <v/>
      </c>
      <c r="C40" s="43"/>
      <c r="D40" s="46"/>
      <c r="E40" s="5" t="s">
        <v>21</v>
      </c>
      <c r="F40" s="47"/>
      <c r="G40" s="43"/>
      <c r="H40" t="str">
        <f>I32</f>
        <v/>
      </c>
      <c r="I40" t="str">
        <f>IF(OR(C40="", G40=""), "", IF(C40&gt;G40, B40, IF(G40&gt;C40, H40, IF(D40&gt;F40, B40, IF(F40&gt;D40, H40, "Faltan Penales")))))</f>
        <v/>
      </c>
      <c r="J40" t="s">
        <v>261</v>
      </c>
    </row>
    <row r="41" spans="1:10" x14ac:dyDescent="0.25">
      <c r="A41" s="7"/>
      <c r="B41" s="7"/>
      <c r="C41" s="44"/>
      <c r="E41" s="7"/>
      <c r="G41" s="44"/>
      <c r="H41" s="7"/>
      <c r="I41" s="7"/>
    </row>
    <row r="42" spans="1:10" x14ac:dyDescent="0.25">
      <c r="A42" s="7"/>
      <c r="B42" s="7"/>
      <c r="C42" s="44"/>
      <c r="E42" s="7"/>
      <c r="G42" s="44"/>
      <c r="H42" s="7"/>
      <c r="I42" s="7"/>
    </row>
    <row r="43" spans="1:10" ht="18.75" customHeight="1" x14ac:dyDescent="0.25">
      <c r="A43" s="52" t="s">
        <v>262</v>
      </c>
      <c r="B43" s="49"/>
      <c r="C43" s="49"/>
      <c r="D43" s="49"/>
      <c r="E43" s="49"/>
      <c r="F43" s="49"/>
      <c r="G43" s="49"/>
      <c r="H43" s="49"/>
      <c r="I43" s="49"/>
      <c r="J43" s="26"/>
    </row>
    <row r="44" spans="1:10" ht="16.5" customHeight="1" x14ac:dyDescent="0.25">
      <c r="A44" s="2" t="s">
        <v>198</v>
      </c>
      <c r="B44" s="2" t="s">
        <v>199</v>
      </c>
      <c r="C44" s="2" t="s">
        <v>4</v>
      </c>
      <c r="D44" s="45" t="s">
        <v>200</v>
      </c>
      <c r="E44" s="2" t="s">
        <v>5</v>
      </c>
      <c r="F44" s="45" t="s">
        <v>200</v>
      </c>
      <c r="G44" s="2" t="s">
        <v>4</v>
      </c>
      <c r="H44" s="2" t="s">
        <v>201</v>
      </c>
      <c r="I44" s="2" t="s">
        <v>202</v>
      </c>
      <c r="J44" s="2" t="s">
        <v>203</v>
      </c>
    </row>
    <row r="45" spans="1:10" x14ac:dyDescent="0.25">
      <c r="A45" s="5" t="s">
        <v>263</v>
      </c>
      <c r="B45" t="str">
        <f>I37</f>
        <v/>
      </c>
      <c r="C45" s="43"/>
      <c r="D45" s="46"/>
      <c r="E45" s="5" t="s">
        <v>21</v>
      </c>
      <c r="F45" s="47"/>
      <c r="G45" s="43"/>
      <c r="H45" t="str">
        <f>I38</f>
        <v/>
      </c>
      <c r="I45" t="str">
        <f>IF(OR(C45="", G45=""), "", IF(C45&gt;G45, B45, IF(G45&gt;C45, H45, IF(D45&gt;F45, B45, IF(F45&gt;D45, H45, "Faltan Penales")))))</f>
        <v/>
      </c>
      <c r="J45" t="s">
        <v>264</v>
      </c>
    </row>
    <row r="46" spans="1:10" x14ac:dyDescent="0.25">
      <c r="A46" s="5" t="s">
        <v>265</v>
      </c>
      <c r="B46" t="str">
        <f>I39</f>
        <v/>
      </c>
      <c r="C46" s="43"/>
      <c r="D46" s="46"/>
      <c r="E46" s="5" t="s">
        <v>21</v>
      </c>
      <c r="F46" s="47"/>
      <c r="G46" s="43"/>
      <c r="H46" t="str">
        <f>I40</f>
        <v/>
      </c>
      <c r="I46" t="str">
        <f>IF(OR(C46="", G46=""), "", IF(C46&gt;G46, B46, IF(G46&gt;C46, H46, IF(D46&gt;F46, B46, IF(F46&gt;D46, H46, "Faltan Penales")))))</f>
        <v/>
      </c>
      <c r="J46" t="s">
        <v>266</v>
      </c>
    </row>
    <row r="47" spans="1:10" x14ac:dyDescent="0.25">
      <c r="A47" s="7"/>
      <c r="B47" s="7"/>
      <c r="C47" s="44"/>
      <c r="E47" s="7"/>
      <c r="G47" s="44"/>
      <c r="H47" s="7"/>
      <c r="I47" s="7"/>
    </row>
    <row r="48" spans="1:10" x14ac:dyDescent="0.25">
      <c r="A48" s="7"/>
      <c r="B48" s="7"/>
      <c r="C48" s="44"/>
      <c r="E48" s="7"/>
      <c r="G48" s="44"/>
      <c r="H48" s="7"/>
      <c r="I48" s="7"/>
    </row>
    <row r="49" spans="1:10" ht="18.75" customHeight="1" x14ac:dyDescent="0.25">
      <c r="A49" s="52" t="s">
        <v>267</v>
      </c>
      <c r="B49" s="49"/>
      <c r="C49" s="49"/>
      <c r="D49" s="49"/>
      <c r="E49" s="49"/>
      <c r="F49" s="49"/>
      <c r="G49" s="49"/>
      <c r="H49" s="49"/>
      <c r="I49" s="49"/>
      <c r="J49" s="26"/>
    </row>
    <row r="50" spans="1:10" ht="16.5" customHeight="1" x14ac:dyDescent="0.25">
      <c r="A50" s="2" t="s">
        <v>198</v>
      </c>
      <c r="B50" s="2" t="s">
        <v>199</v>
      </c>
      <c r="C50" s="2" t="s">
        <v>4</v>
      </c>
      <c r="D50" s="45" t="s">
        <v>200</v>
      </c>
      <c r="E50" s="2" t="s">
        <v>5</v>
      </c>
      <c r="F50" s="45" t="s">
        <v>200</v>
      </c>
      <c r="G50" s="2" t="s">
        <v>4</v>
      </c>
      <c r="H50" s="2" t="s">
        <v>201</v>
      </c>
      <c r="I50" s="2" t="s">
        <v>202</v>
      </c>
      <c r="J50" s="2" t="s">
        <v>203</v>
      </c>
    </row>
    <row r="51" spans="1:10" x14ac:dyDescent="0.25">
      <c r="A51" s="5" t="s">
        <v>268</v>
      </c>
      <c r="B51" t="str">
        <f>IF(OR(C45="", G45=""), "", IF(C45&lt;G45, B45, IF(G45&lt;C45, H45, IF(D45&lt;F45, B45, IF(F45&lt;D45, H45, "")))))</f>
        <v/>
      </c>
      <c r="C51" s="43"/>
      <c r="D51" s="28"/>
      <c r="E51" s="5" t="s">
        <v>21</v>
      </c>
      <c r="F51" s="30"/>
      <c r="G51" s="43"/>
      <c r="H51" t="str">
        <f>IF(OR(C46="", G46=""), "", IF(C46&lt;G46, B46, IF(G46&lt;C46, H46, IF(D46&lt;F46, B46, IF(F46&lt;D46, H46, "")))))</f>
        <v/>
      </c>
      <c r="I51" t="str">
        <f>IF(OR(C51="", G51=""), "", IF(C51&gt;G51, B51, IF(G51&gt;C51, H51, IF(D51&gt;F51, B51, IF(F51&gt;D51, H51, "Faltan Penales")))))</f>
        <v/>
      </c>
      <c r="J51" t="s">
        <v>269</v>
      </c>
    </row>
    <row r="52" spans="1:10" x14ac:dyDescent="0.25">
      <c r="A52" s="7"/>
      <c r="B52" s="7"/>
      <c r="C52" s="44"/>
      <c r="E52" s="7"/>
      <c r="G52" s="44"/>
      <c r="H52" s="7"/>
      <c r="I52" s="7"/>
    </row>
    <row r="53" spans="1:10" x14ac:dyDescent="0.25">
      <c r="A53" s="7"/>
      <c r="B53" s="7"/>
      <c r="C53" s="44"/>
      <c r="E53" s="7"/>
      <c r="G53" s="44"/>
      <c r="H53" s="7"/>
      <c r="I53" s="7"/>
    </row>
    <row r="54" spans="1:10" ht="18.75" customHeight="1" x14ac:dyDescent="0.25">
      <c r="A54" s="52" t="s">
        <v>270</v>
      </c>
      <c r="B54" s="49"/>
      <c r="C54" s="49"/>
      <c r="D54" s="49"/>
      <c r="E54" s="49"/>
      <c r="F54" s="49"/>
      <c r="G54" s="49"/>
      <c r="H54" s="49"/>
      <c r="I54" s="49"/>
    </row>
    <row r="55" spans="1:10" ht="16.5" customHeight="1" x14ac:dyDescent="0.25">
      <c r="A55" s="2" t="s">
        <v>198</v>
      </c>
      <c r="B55" s="2" t="s">
        <v>199</v>
      </c>
      <c r="C55" s="2" t="s">
        <v>4</v>
      </c>
      <c r="E55" s="2" t="s">
        <v>5</v>
      </c>
      <c r="G55" s="2" t="s">
        <v>4</v>
      </c>
      <c r="H55" s="2" t="s">
        <v>201</v>
      </c>
      <c r="I55" s="2" t="s">
        <v>202</v>
      </c>
      <c r="J55" s="2" t="s">
        <v>203</v>
      </c>
    </row>
    <row r="56" spans="1:10" x14ac:dyDescent="0.25">
      <c r="A56" s="5" t="s">
        <v>271</v>
      </c>
      <c r="B56" t="str">
        <f>I45</f>
        <v/>
      </c>
      <c r="C56" s="43"/>
      <c r="D56" s="28"/>
      <c r="E56" s="5" t="s">
        <v>21</v>
      </c>
      <c r="F56" s="30"/>
      <c r="G56" s="43"/>
      <c r="H56" t="str">
        <f>I46</f>
        <v/>
      </c>
      <c r="I56" t="str">
        <f>IF(OR(C56="", G56=""), "", IF(C56&gt;G56, B56, IF(G56&gt;C56, H56, IF(D56&gt;F56, B56, IF(F56&gt;D56, H56, "Faltan Penales")))))</f>
        <v/>
      </c>
      <c r="J56" t="s">
        <v>272</v>
      </c>
    </row>
    <row r="57" spans="1:10" x14ac:dyDescent="0.25">
      <c r="A57" s="7"/>
      <c r="B57" s="7"/>
      <c r="C57" s="44"/>
      <c r="E57" s="7"/>
      <c r="G57" s="44"/>
      <c r="H57" s="7"/>
      <c r="I57" s="7"/>
    </row>
    <row r="58" spans="1:10" x14ac:dyDescent="0.25">
      <c r="A58" s="7"/>
      <c r="B58" s="7"/>
      <c r="C58" s="44"/>
      <c r="E58" s="7"/>
      <c r="G58" s="44"/>
      <c r="H58" s="7"/>
      <c r="I58" s="7"/>
    </row>
    <row r="59" spans="1:10" ht="18.75" customHeight="1" x14ac:dyDescent="0.25">
      <c r="A59" s="52" t="s">
        <v>273</v>
      </c>
      <c r="B59" s="49"/>
      <c r="C59" s="49"/>
      <c r="D59" s="49"/>
      <c r="E59" s="49"/>
      <c r="F59" s="49"/>
      <c r="G59" s="49"/>
      <c r="H59" s="49"/>
      <c r="I59" s="49"/>
    </row>
    <row r="60" spans="1:10" ht="16.5" customHeight="1" x14ac:dyDescent="0.25">
      <c r="A60" s="7"/>
      <c r="B60" s="53" t="s">
        <v>274</v>
      </c>
      <c r="C60" s="49"/>
      <c r="D60" s="49"/>
      <c r="E60" s="49"/>
      <c r="F60" s="49"/>
      <c r="G60" s="49"/>
      <c r="H60" s="8" t="str">
        <f>I56</f>
        <v/>
      </c>
      <c r="I60" s="7"/>
    </row>
    <row r="61" spans="1:10" ht="16.5" customHeight="1" x14ac:dyDescent="0.25">
      <c r="A61" s="7"/>
      <c r="B61" s="53" t="s">
        <v>275</v>
      </c>
      <c r="C61" s="49"/>
      <c r="D61" s="49"/>
      <c r="E61" s="49"/>
      <c r="F61" s="49"/>
      <c r="G61" s="49"/>
      <c r="H61" s="8" t="str">
        <f>IF(OR(C56="", G56=""), "", IF(C56&lt;G56, B56, IF(G56&lt;C56, H56, IF(D56&lt;F56, B56, IF(F56&lt;D56, H56, "")))))</f>
        <v/>
      </c>
      <c r="I61" s="7"/>
    </row>
    <row r="62" spans="1:10" ht="16.5" customHeight="1" x14ac:dyDescent="0.25">
      <c r="A62" s="7"/>
      <c r="B62" s="53" t="s">
        <v>276</v>
      </c>
      <c r="C62" s="49"/>
      <c r="D62" s="49"/>
      <c r="E62" s="49"/>
      <c r="F62" s="49"/>
      <c r="G62" s="49"/>
      <c r="H62" s="8" t="str">
        <f>I51</f>
        <v/>
      </c>
      <c r="I62" s="7"/>
    </row>
  </sheetData>
  <mergeCells count="11">
    <mergeCell ref="A23:I23"/>
    <mergeCell ref="A1:I2"/>
    <mergeCell ref="A35:I35"/>
    <mergeCell ref="A4:I4"/>
    <mergeCell ref="A54:I54"/>
    <mergeCell ref="A59:I59"/>
    <mergeCell ref="B62:G62"/>
    <mergeCell ref="A43:I43"/>
    <mergeCell ref="A49:I49"/>
    <mergeCell ref="B60:G60"/>
    <mergeCell ref="B61:G6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183"/>
  <sheetViews>
    <sheetView workbookViewId="0">
      <selection activeCell="B2" sqref="B2"/>
    </sheetView>
  </sheetViews>
  <sheetFormatPr defaultColWidth="9.140625" defaultRowHeight="15" x14ac:dyDescent="0.25"/>
  <cols>
    <col min="2" max="2" width="124.28515625" customWidth="1"/>
  </cols>
  <sheetData>
    <row r="2" spans="2:2" ht="26.25" customHeight="1" x14ac:dyDescent="0.25">
      <c r="B2" s="9" t="s">
        <v>277</v>
      </c>
    </row>
    <row r="4" spans="2:2" x14ac:dyDescent="0.25">
      <c r="B4" s="17" t="s">
        <v>278</v>
      </c>
    </row>
    <row r="5" spans="2:2" x14ac:dyDescent="0.25">
      <c r="B5" t="s">
        <v>279</v>
      </c>
    </row>
    <row r="6" spans="2:2" x14ac:dyDescent="0.25">
      <c r="B6" t="s">
        <v>280</v>
      </c>
    </row>
    <row r="7" spans="2:2" x14ac:dyDescent="0.25">
      <c r="B7" t="s">
        <v>281</v>
      </c>
    </row>
    <row r="9" spans="2:2" x14ac:dyDescent="0.25">
      <c r="B9" t="s">
        <v>282</v>
      </c>
    </row>
    <row r="10" spans="2:2" x14ac:dyDescent="0.25">
      <c r="B10" t="s">
        <v>283</v>
      </c>
    </row>
    <row r="11" spans="2:2" x14ac:dyDescent="0.25">
      <c r="B11" t="s">
        <v>284</v>
      </c>
    </row>
    <row r="13" spans="2:2" x14ac:dyDescent="0.25">
      <c r="B13" t="s">
        <v>285</v>
      </c>
    </row>
    <row r="14" spans="2:2" x14ac:dyDescent="0.25">
      <c r="B14" t="s">
        <v>286</v>
      </c>
    </row>
    <row r="15" spans="2:2" x14ac:dyDescent="0.25">
      <c r="B15" t="s">
        <v>287</v>
      </c>
    </row>
    <row r="16" spans="2:2" x14ac:dyDescent="0.25">
      <c r="B16" t="s">
        <v>288</v>
      </c>
    </row>
    <row r="17" spans="2:2" x14ac:dyDescent="0.25">
      <c r="B17" t="s">
        <v>289</v>
      </c>
    </row>
    <row r="19" spans="2:2" x14ac:dyDescent="0.25">
      <c r="B19" t="s">
        <v>290</v>
      </c>
    </row>
    <row r="20" spans="2:2" x14ac:dyDescent="0.25">
      <c r="B20" t="s">
        <v>291</v>
      </c>
    </row>
    <row r="21" spans="2:2" x14ac:dyDescent="0.25">
      <c r="B21" t="s">
        <v>292</v>
      </c>
    </row>
    <row r="22" spans="2:2" x14ac:dyDescent="0.25">
      <c r="B22" t="s">
        <v>293</v>
      </c>
    </row>
    <row r="23" spans="2:2" x14ac:dyDescent="0.25">
      <c r="B23" t="s">
        <v>294</v>
      </c>
    </row>
    <row r="25" spans="2:2" x14ac:dyDescent="0.25">
      <c r="B25" t="s">
        <v>295</v>
      </c>
    </row>
    <row r="26" spans="2:2" x14ac:dyDescent="0.25">
      <c r="B26" t="s">
        <v>296</v>
      </c>
    </row>
    <row r="27" spans="2:2" x14ac:dyDescent="0.25">
      <c r="B27" t="s">
        <v>297</v>
      </c>
    </row>
    <row r="28" spans="2:2" x14ac:dyDescent="0.25">
      <c r="B28" t="s">
        <v>298</v>
      </c>
    </row>
    <row r="29" spans="2:2" x14ac:dyDescent="0.25">
      <c r="B29" t="s">
        <v>299</v>
      </c>
    </row>
    <row r="31" spans="2:2" x14ac:dyDescent="0.25">
      <c r="B31" t="s">
        <v>300</v>
      </c>
    </row>
    <row r="32" spans="2:2" x14ac:dyDescent="0.25">
      <c r="B32" t="s">
        <v>301</v>
      </c>
    </row>
    <row r="33" spans="2:2" x14ac:dyDescent="0.25">
      <c r="B33" t="s">
        <v>302</v>
      </c>
    </row>
    <row r="34" spans="2:2" x14ac:dyDescent="0.25">
      <c r="B34" t="s">
        <v>303</v>
      </c>
    </row>
    <row r="35" spans="2:2" x14ac:dyDescent="0.25">
      <c r="B35" t="s">
        <v>304</v>
      </c>
    </row>
    <row r="37" spans="2:2" x14ac:dyDescent="0.25">
      <c r="B37" t="s">
        <v>305</v>
      </c>
    </row>
    <row r="38" spans="2:2" x14ac:dyDescent="0.25">
      <c r="B38" t="s">
        <v>306</v>
      </c>
    </row>
    <row r="39" spans="2:2" x14ac:dyDescent="0.25">
      <c r="B39" t="s">
        <v>307</v>
      </c>
    </row>
    <row r="40" spans="2:2" x14ac:dyDescent="0.25">
      <c r="B40" t="s">
        <v>308</v>
      </c>
    </row>
    <row r="41" spans="2:2" x14ac:dyDescent="0.25">
      <c r="B41" t="s">
        <v>309</v>
      </c>
    </row>
    <row r="43" spans="2:2" x14ac:dyDescent="0.25">
      <c r="B43" t="s">
        <v>310</v>
      </c>
    </row>
    <row r="44" spans="2:2" x14ac:dyDescent="0.25">
      <c r="B44" t="s">
        <v>311</v>
      </c>
    </row>
    <row r="45" spans="2:2" x14ac:dyDescent="0.25">
      <c r="B45" t="s">
        <v>312</v>
      </c>
    </row>
    <row r="46" spans="2:2" x14ac:dyDescent="0.25">
      <c r="B46" t="s">
        <v>313</v>
      </c>
    </row>
    <row r="47" spans="2:2" x14ac:dyDescent="0.25">
      <c r="B47" t="s">
        <v>314</v>
      </c>
    </row>
    <row r="49" spans="2:2" x14ac:dyDescent="0.25">
      <c r="B49" t="s">
        <v>315</v>
      </c>
    </row>
    <row r="50" spans="2:2" x14ac:dyDescent="0.25">
      <c r="B50" t="s">
        <v>316</v>
      </c>
    </row>
    <row r="51" spans="2:2" x14ac:dyDescent="0.25">
      <c r="B51" t="s">
        <v>317</v>
      </c>
    </row>
    <row r="52" spans="2:2" x14ac:dyDescent="0.25">
      <c r="B52" t="s">
        <v>318</v>
      </c>
    </row>
    <row r="53" spans="2:2" x14ac:dyDescent="0.25">
      <c r="B53" t="s">
        <v>319</v>
      </c>
    </row>
    <row r="55" spans="2:2" x14ac:dyDescent="0.25">
      <c r="B55" t="s">
        <v>320</v>
      </c>
    </row>
    <row r="56" spans="2:2" x14ac:dyDescent="0.25">
      <c r="B56" t="s">
        <v>321</v>
      </c>
    </row>
    <row r="57" spans="2:2" x14ac:dyDescent="0.25">
      <c r="B57" t="s">
        <v>322</v>
      </c>
    </row>
    <row r="58" spans="2:2" x14ac:dyDescent="0.25">
      <c r="B58" t="s">
        <v>323</v>
      </c>
    </row>
    <row r="59" spans="2:2" x14ac:dyDescent="0.25">
      <c r="B59" t="s">
        <v>324</v>
      </c>
    </row>
    <row r="62" spans="2:2" x14ac:dyDescent="0.25">
      <c r="B62" t="s">
        <v>325</v>
      </c>
    </row>
    <row r="63" spans="2:2" x14ac:dyDescent="0.25">
      <c r="B63" t="s">
        <v>326</v>
      </c>
    </row>
    <row r="64" spans="2:2" x14ac:dyDescent="0.25">
      <c r="B64" t="s">
        <v>327</v>
      </c>
    </row>
    <row r="65" spans="2:2" x14ac:dyDescent="0.25">
      <c r="B65" t="s">
        <v>328</v>
      </c>
    </row>
    <row r="66" spans="2:2" x14ac:dyDescent="0.25">
      <c r="B66" t="s">
        <v>329</v>
      </c>
    </row>
    <row r="68" spans="2:2" x14ac:dyDescent="0.25">
      <c r="B68" t="s">
        <v>330</v>
      </c>
    </row>
    <row r="69" spans="2:2" x14ac:dyDescent="0.25">
      <c r="B69" t="s">
        <v>331</v>
      </c>
    </row>
    <row r="70" spans="2:2" x14ac:dyDescent="0.25">
      <c r="B70" t="s">
        <v>332</v>
      </c>
    </row>
    <row r="71" spans="2:2" x14ac:dyDescent="0.25">
      <c r="B71" t="s">
        <v>333</v>
      </c>
    </row>
    <row r="72" spans="2:2" x14ac:dyDescent="0.25">
      <c r="B72" t="s">
        <v>334</v>
      </c>
    </row>
    <row r="74" spans="2:2" x14ac:dyDescent="0.25">
      <c r="B74" t="s">
        <v>335</v>
      </c>
    </row>
    <row r="75" spans="2:2" x14ac:dyDescent="0.25">
      <c r="B75" t="s">
        <v>336</v>
      </c>
    </row>
    <row r="76" spans="2:2" x14ac:dyDescent="0.25">
      <c r="B76" t="s">
        <v>337</v>
      </c>
    </row>
    <row r="77" spans="2:2" x14ac:dyDescent="0.25">
      <c r="B77" t="s">
        <v>338</v>
      </c>
    </row>
    <row r="78" spans="2:2" x14ac:dyDescent="0.25">
      <c r="B78" t="s">
        <v>339</v>
      </c>
    </row>
    <row r="80" spans="2:2" x14ac:dyDescent="0.25">
      <c r="B80" t="s">
        <v>340</v>
      </c>
    </row>
    <row r="81" spans="2:2" x14ac:dyDescent="0.25">
      <c r="B81" t="s">
        <v>341</v>
      </c>
    </row>
    <row r="82" spans="2:2" x14ac:dyDescent="0.25">
      <c r="B82" t="s">
        <v>342</v>
      </c>
    </row>
    <row r="83" spans="2:2" x14ac:dyDescent="0.25">
      <c r="B83" t="s">
        <v>343</v>
      </c>
    </row>
    <row r="84" spans="2:2" x14ac:dyDescent="0.25">
      <c r="B84" t="s">
        <v>344</v>
      </c>
    </row>
    <row r="85" spans="2:2" x14ac:dyDescent="0.25">
      <c r="B85" t="s">
        <v>345</v>
      </c>
    </row>
    <row r="86" spans="2:2" x14ac:dyDescent="0.25">
      <c r="B86" t="s">
        <v>346</v>
      </c>
    </row>
    <row r="88" spans="2:2" x14ac:dyDescent="0.25">
      <c r="B88" t="s">
        <v>347</v>
      </c>
    </row>
    <row r="89" spans="2:2" x14ac:dyDescent="0.25">
      <c r="B89" t="s">
        <v>348</v>
      </c>
    </row>
    <row r="90" spans="2:2" x14ac:dyDescent="0.25">
      <c r="B90" t="s">
        <v>349</v>
      </c>
    </row>
    <row r="91" spans="2:2" x14ac:dyDescent="0.25">
      <c r="B91" t="s">
        <v>350</v>
      </c>
    </row>
    <row r="92" spans="2:2" x14ac:dyDescent="0.25">
      <c r="B92" t="s">
        <v>351</v>
      </c>
    </row>
    <row r="93" spans="2:2" x14ac:dyDescent="0.25">
      <c r="B93" t="s">
        <v>352</v>
      </c>
    </row>
    <row r="94" spans="2:2" x14ac:dyDescent="0.25">
      <c r="B94" t="s">
        <v>353</v>
      </c>
    </row>
    <row r="96" spans="2:2" x14ac:dyDescent="0.25">
      <c r="B96" t="s">
        <v>354</v>
      </c>
    </row>
    <row r="97" spans="2:2" x14ac:dyDescent="0.25">
      <c r="B97" t="s">
        <v>355</v>
      </c>
    </row>
    <row r="98" spans="2:2" x14ac:dyDescent="0.25">
      <c r="B98" t="s">
        <v>356</v>
      </c>
    </row>
    <row r="99" spans="2:2" x14ac:dyDescent="0.25">
      <c r="B99" t="s">
        <v>357</v>
      </c>
    </row>
    <row r="100" spans="2:2" x14ac:dyDescent="0.25">
      <c r="B100" t="s">
        <v>358</v>
      </c>
    </row>
    <row r="101" spans="2:2" x14ac:dyDescent="0.25">
      <c r="B101" t="s">
        <v>359</v>
      </c>
    </row>
    <row r="102" spans="2:2" x14ac:dyDescent="0.25">
      <c r="B102" t="s">
        <v>360</v>
      </c>
    </row>
    <row r="104" spans="2:2" x14ac:dyDescent="0.25">
      <c r="B104" t="s">
        <v>361</v>
      </c>
    </row>
    <row r="105" spans="2:2" x14ac:dyDescent="0.25">
      <c r="B105" t="s">
        <v>362</v>
      </c>
    </row>
    <row r="106" spans="2:2" x14ac:dyDescent="0.25">
      <c r="B106" t="s">
        <v>363</v>
      </c>
    </row>
    <row r="107" spans="2:2" x14ac:dyDescent="0.25">
      <c r="B107" t="s">
        <v>364</v>
      </c>
    </row>
    <row r="108" spans="2:2" x14ac:dyDescent="0.25">
      <c r="B108" t="s">
        <v>365</v>
      </c>
    </row>
    <row r="109" spans="2:2" x14ac:dyDescent="0.25">
      <c r="B109" t="s">
        <v>366</v>
      </c>
    </row>
    <row r="110" spans="2:2" x14ac:dyDescent="0.25">
      <c r="B110" t="s">
        <v>367</v>
      </c>
    </row>
    <row r="112" spans="2:2" x14ac:dyDescent="0.25">
      <c r="B112" t="s">
        <v>368</v>
      </c>
    </row>
    <row r="114" spans="2:2" x14ac:dyDescent="0.25">
      <c r="B114" t="s">
        <v>369</v>
      </c>
    </row>
    <row r="115" spans="2:2" x14ac:dyDescent="0.25">
      <c r="B115" t="s">
        <v>370</v>
      </c>
    </row>
    <row r="117" spans="2:2" x14ac:dyDescent="0.25">
      <c r="B117" t="s">
        <v>371</v>
      </c>
    </row>
    <row r="118" spans="2:2" x14ac:dyDescent="0.25">
      <c r="B118" t="s">
        <v>372</v>
      </c>
    </row>
    <row r="119" spans="2:2" x14ac:dyDescent="0.25">
      <c r="B119" t="s">
        <v>373</v>
      </c>
    </row>
    <row r="120" spans="2:2" x14ac:dyDescent="0.25">
      <c r="B120" t="s">
        <v>374</v>
      </c>
    </row>
    <row r="122" spans="2:2" x14ac:dyDescent="0.25">
      <c r="B122" t="s">
        <v>375</v>
      </c>
    </row>
    <row r="123" spans="2:2" x14ac:dyDescent="0.25">
      <c r="B123" t="s">
        <v>376</v>
      </c>
    </row>
    <row r="124" spans="2:2" x14ac:dyDescent="0.25">
      <c r="B124" t="s">
        <v>377</v>
      </c>
    </row>
    <row r="125" spans="2:2" x14ac:dyDescent="0.25">
      <c r="B125" t="s">
        <v>378</v>
      </c>
    </row>
    <row r="127" spans="2:2" x14ac:dyDescent="0.25">
      <c r="B127" t="s">
        <v>379</v>
      </c>
    </row>
    <row r="128" spans="2:2" x14ac:dyDescent="0.25">
      <c r="B128" t="s">
        <v>380</v>
      </c>
    </row>
    <row r="129" spans="2:2" x14ac:dyDescent="0.25">
      <c r="B129" t="s">
        <v>381</v>
      </c>
    </row>
    <row r="130" spans="2:2" x14ac:dyDescent="0.25">
      <c r="B130" t="s">
        <v>382</v>
      </c>
    </row>
    <row r="132" spans="2:2" x14ac:dyDescent="0.25">
      <c r="B132" t="s">
        <v>383</v>
      </c>
    </row>
    <row r="133" spans="2:2" x14ac:dyDescent="0.25">
      <c r="B133" t="s">
        <v>384</v>
      </c>
    </row>
    <row r="134" spans="2:2" x14ac:dyDescent="0.25">
      <c r="B134" t="s">
        <v>385</v>
      </c>
    </row>
    <row r="135" spans="2:2" x14ac:dyDescent="0.25">
      <c r="B135" t="s">
        <v>386</v>
      </c>
    </row>
    <row r="137" spans="2:2" x14ac:dyDescent="0.25">
      <c r="B137" t="s">
        <v>387</v>
      </c>
    </row>
    <row r="138" spans="2:2" x14ac:dyDescent="0.25">
      <c r="B138" t="s">
        <v>388</v>
      </c>
    </row>
    <row r="139" spans="2:2" x14ac:dyDescent="0.25">
      <c r="B139" t="s">
        <v>389</v>
      </c>
    </row>
    <row r="140" spans="2:2" x14ac:dyDescent="0.25">
      <c r="B140" t="s">
        <v>390</v>
      </c>
    </row>
    <row r="142" spans="2:2" x14ac:dyDescent="0.25">
      <c r="B142" t="s">
        <v>391</v>
      </c>
    </row>
    <row r="143" spans="2:2" x14ac:dyDescent="0.25">
      <c r="B143" t="s">
        <v>392</v>
      </c>
    </row>
    <row r="144" spans="2:2" x14ac:dyDescent="0.25">
      <c r="B144" t="s">
        <v>393</v>
      </c>
    </row>
    <row r="145" spans="2:2" x14ac:dyDescent="0.25">
      <c r="B145" t="s">
        <v>394</v>
      </c>
    </row>
    <row r="147" spans="2:2" x14ac:dyDescent="0.25">
      <c r="B147" t="s">
        <v>395</v>
      </c>
    </row>
    <row r="148" spans="2:2" x14ac:dyDescent="0.25">
      <c r="B148" t="s">
        <v>396</v>
      </c>
    </row>
    <row r="149" spans="2:2" x14ac:dyDescent="0.25">
      <c r="B149" t="s">
        <v>397</v>
      </c>
    </row>
    <row r="151" spans="2:2" x14ac:dyDescent="0.25">
      <c r="B151" t="s">
        <v>398</v>
      </c>
    </row>
    <row r="152" spans="2:2" x14ac:dyDescent="0.25">
      <c r="B152" t="s">
        <v>399</v>
      </c>
    </row>
    <row r="153" spans="2:2" x14ac:dyDescent="0.25">
      <c r="B153" t="s">
        <v>400</v>
      </c>
    </row>
    <row r="155" spans="2:2" x14ac:dyDescent="0.25">
      <c r="B155" t="s">
        <v>401</v>
      </c>
    </row>
    <row r="156" spans="2:2" x14ac:dyDescent="0.25">
      <c r="B156" t="s">
        <v>402</v>
      </c>
    </row>
    <row r="157" spans="2:2" x14ac:dyDescent="0.25">
      <c r="B157" t="s">
        <v>403</v>
      </c>
    </row>
    <row r="159" spans="2:2" x14ac:dyDescent="0.25">
      <c r="B159" t="s">
        <v>404</v>
      </c>
    </row>
    <row r="160" spans="2:2" x14ac:dyDescent="0.25">
      <c r="B160" t="s">
        <v>405</v>
      </c>
    </row>
    <row r="161" spans="2:2" x14ac:dyDescent="0.25">
      <c r="B161" t="s">
        <v>406</v>
      </c>
    </row>
    <row r="163" spans="2:2" x14ac:dyDescent="0.25">
      <c r="B163" t="s">
        <v>407</v>
      </c>
    </row>
    <row r="164" spans="2:2" x14ac:dyDescent="0.25">
      <c r="B164" t="s">
        <v>408</v>
      </c>
    </row>
    <row r="166" spans="2:2" x14ac:dyDescent="0.25">
      <c r="B166" t="s">
        <v>409</v>
      </c>
    </row>
    <row r="167" spans="2:2" x14ac:dyDescent="0.25">
      <c r="B167" t="s">
        <v>410</v>
      </c>
    </row>
    <row r="168" spans="2:2" x14ac:dyDescent="0.25">
      <c r="B168" t="s">
        <v>411</v>
      </c>
    </row>
    <row r="170" spans="2:2" x14ac:dyDescent="0.25">
      <c r="B170" t="s">
        <v>412</v>
      </c>
    </row>
    <row r="171" spans="2:2" x14ac:dyDescent="0.25">
      <c r="B171" t="s">
        <v>413</v>
      </c>
    </row>
    <row r="172" spans="2:2" x14ac:dyDescent="0.25">
      <c r="B172" t="s">
        <v>414</v>
      </c>
    </row>
    <row r="174" spans="2:2" x14ac:dyDescent="0.25">
      <c r="B174" t="s">
        <v>415</v>
      </c>
    </row>
    <row r="175" spans="2:2" x14ac:dyDescent="0.25">
      <c r="B175" t="s">
        <v>416</v>
      </c>
    </row>
    <row r="177" spans="2:2" x14ac:dyDescent="0.25">
      <c r="B177" t="s">
        <v>417</v>
      </c>
    </row>
    <row r="178" spans="2:2" x14ac:dyDescent="0.25">
      <c r="B178" t="s">
        <v>418</v>
      </c>
    </row>
    <row r="179" spans="2:2" x14ac:dyDescent="0.25">
      <c r="B179" t="s">
        <v>419</v>
      </c>
    </row>
    <row r="181" spans="2:2" x14ac:dyDescent="0.25">
      <c r="B181" t="s">
        <v>420</v>
      </c>
    </row>
    <row r="182" spans="2:2" x14ac:dyDescent="0.25">
      <c r="B182" t="s">
        <v>421</v>
      </c>
    </row>
    <row r="183" spans="2:2" x14ac:dyDescent="0.25">
      <c r="B183" t="s">
        <v>422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8"/>
  <sheetViews>
    <sheetView workbookViewId="0">
      <selection activeCell="B2" sqref="B2"/>
    </sheetView>
  </sheetViews>
  <sheetFormatPr defaultColWidth="9.140625" defaultRowHeight="15" x14ac:dyDescent="0.25"/>
  <cols>
    <col min="2" max="2" width="146" customWidth="1"/>
  </cols>
  <sheetData>
    <row r="2" spans="2:2" ht="26.25" customHeight="1" x14ac:dyDescent="0.25">
      <c r="B2" s="9" t="s">
        <v>423</v>
      </c>
    </row>
    <row r="3" spans="2:2" ht="45" customHeight="1" x14ac:dyDescent="0.25">
      <c r="B3" s="15" t="s">
        <v>424</v>
      </c>
    </row>
    <row r="6" spans="2:2" ht="26.25" customHeight="1" x14ac:dyDescent="0.25">
      <c r="B6" s="9" t="s">
        <v>425</v>
      </c>
    </row>
    <row r="7" spans="2:2" x14ac:dyDescent="0.25">
      <c r="B7" s="16"/>
    </row>
    <row r="8" spans="2:2" ht="60" customHeight="1" x14ac:dyDescent="0.25">
      <c r="B8" s="15" t="s">
        <v>426</v>
      </c>
    </row>
  </sheetData>
  <hyperlinks>
    <hyperlink ref="B3" r:id="rId1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xr:uid="{00000000-0004-0000-0600-000000000000}"/>
    <hyperlink ref="B8" r:id="rId2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xr:uid="{00000000-0004-0000-0600-000001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8"/>
  <sheetViews>
    <sheetView workbookViewId="0"/>
  </sheetViews>
  <sheetFormatPr defaultColWidth="9.140625" defaultRowHeight="15" x14ac:dyDescent="0.25"/>
  <sheetData>
    <row r="1" spans="1:2" x14ac:dyDescent="0.25">
      <c r="A1" t="s">
        <v>20</v>
      </c>
      <c r="B1">
        <v>1000</v>
      </c>
    </row>
    <row r="2" spans="1:2" x14ac:dyDescent="0.25">
      <c r="A2" t="s">
        <v>22</v>
      </c>
      <c r="B2">
        <v>1000</v>
      </c>
    </row>
    <row r="3" spans="1:2" x14ac:dyDescent="0.25">
      <c r="A3" t="s">
        <v>25</v>
      </c>
      <c r="B3">
        <v>1000</v>
      </c>
    </row>
    <row r="4" spans="1:2" x14ac:dyDescent="0.25">
      <c r="A4" t="s">
        <v>26</v>
      </c>
      <c r="B4">
        <v>1000</v>
      </c>
    </row>
    <row r="5" spans="1:2" x14ac:dyDescent="0.25">
      <c r="A5" t="s">
        <v>32</v>
      </c>
      <c r="B5">
        <v>1000</v>
      </c>
    </row>
    <row r="6" spans="1:2" x14ac:dyDescent="0.25">
      <c r="A6" t="s">
        <v>34</v>
      </c>
      <c r="B6">
        <v>1000</v>
      </c>
    </row>
    <row r="7" spans="1:2" x14ac:dyDescent="0.25">
      <c r="A7" t="s">
        <v>36</v>
      </c>
      <c r="B7">
        <v>1000</v>
      </c>
    </row>
    <row r="8" spans="1:2" x14ac:dyDescent="0.25">
      <c r="A8" t="s">
        <v>37</v>
      </c>
      <c r="B8">
        <v>1000</v>
      </c>
    </row>
    <row r="9" spans="1:2" x14ac:dyDescent="0.25">
      <c r="A9" t="s">
        <v>43</v>
      </c>
      <c r="B9">
        <v>1000</v>
      </c>
    </row>
    <row r="10" spans="1:2" x14ac:dyDescent="0.25">
      <c r="A10" t="s">
        <v>44</v>
      </c>
      <c r="B10">
        <v>1000</v>
      </c>
    </row>
    <row r="11" spans="1:2" x14ac:dyDescent="0.25">
      <c r="A11" t="s">
        <v>45</v>
      </c>
      <c r="B11">
        <v>1000</v>
      </c>
    </row>
    <row r="12" spans="1:2" x14ac:dyDescent="0.25">
      <c r="A12" t="s">
        <v>47</v>
      </c>
      <c r="B12">
        <v>1000</v>
      </c>
    </row>
    <row r="13" spans="1:2" x14ac:dyDescent="0.25">
      <c r="A13" t="s">
        <v>52</v>
      </c>
      <c r="B13">
        <v>1000</v>
      </c>
    </row>
    <row r="14" spans="1:2" x14ac:dyDescent="0.25">
      <c r="A14" t="s">
        <v>54</v>
      </c>
      <c r="B14">
        <v>1000</v>
      </c>
    </row>
    <row r="15" spans="1:2" x14ac:dyDescent="0.25">
      <c r="A15" t="s">
        <v>56</v>
      </c>
      <c r="B15">
        <v>1000</v>
      </c>
    </row>
    <row r="16" spans="1:2" x14ac:dyDescent="0.25">
      <c r="A16" t="s">
        <v>57</v>
      </c>
      <c r="B16">
        <v>1000</v>
      </c>
    </row>
    <row r="17" spans="1:2" x14ac:dyDescent="0.25">
      <c r="A17" t="s">
        <v>61</v>
      </c>
      <c r="B17">
        <v>1000</v>
      </c>
    </row>
    <row r="18" spans="1:2" x14ac:dyDescent="0.25">
      <c r="A18" t="s">
        <v>63</v>
      </c>
      <c r="B18">
        <v>1000</v>
      </c>
    </row>
    <row r="19" spans="1:2" x14ac:dyDescent="0.25">
      <c r="A19" t="s">
        <v>65</v>
      </c>
      <c r="B19">
        <v>1000</v>
      </c>
    </row>
    <row r="20" spans="1:2" x14ac:dyDescent="0.25">
      <c r="A20" t="s">
        <v>67</v>
      </c>
      <c r="B20">
        <v>1000</v>
      </c>
    </row>
    <row r="21" spans="1:2" x14ac:dyDescent="0.25">
      <c r="A21" t="s">
        <v>70</v>
      </c>
      <c r="B21">
        <v>1000</v>
      </c>
    </row>
    <row r="22" spans="1:2" x14ac:dyDescent="0.25">
      <c r="A22" t="s">
        <v>72</v>
      </c>
      <c r="B22">
        <v>1000</v>
      </c>
    </row>
    <row r="23" spans="1:2" x14ac:dyDescent="0.25">
      <c r="A23" t="s">
        <v>74</v>
      </c>
      <c r="B23">
        <v>1000</v>
      </c>
    </row>
    <row r="24" spans="1:2" x14ac:dyDescent="0.25">
      <c r="A24" t="s">
        <v>76</v>
      </c>
      <c r="B24">
        <v>1000</v>
      </c>
    </row>
    <row r="25" spans="1:2" x14ac:dyDescent="0.25">
      <c r="A25" t="s">
        <v>81</v>
      </c>
      <c r="B25">
        <v>1000</v>
      </c>
    </row>
    <row r="26" spans="1:2" x14ac:dyDescent="0.25">
      <c r="A26" t="s">
        <v>83</v>
      </c>
      <c r="B26">
        <v>1000</v>
      </c>
    </row>
    <row r="27" spans="1:2" x14ac:dyDescent="0.25">
      <c r="A27" t="s">
        <v>84</v>
      </c>
      <c r="B27">
        <v>1000</v>
      </c>
    </row>
    <row r="28" spans="1:2" x14ac:dyDescent="0.25">
      <c r="A28" t="s">
        <v>86</v>
      </c>
      <c r="B28">
        <v>1000</v>
      </c>
    </row>
    <row r="29" spans="1:2" x14ac:dyDescent="0.25">
      <c r="A29" t="s">
        <v>91</v>
      </c>
      <c r="B29">
        <v>1000</v>
      </c>
    </row>
    <row r="30" spans="1:2" x14ac:dyDescent="0.25">
      <c r="A30" t="s">
        <v>93</v>
      </c>
      <c r="B30">
        <v>1000</v>
      </c>
    </row>
    <row r="31" spans="1:2" x14ac:dyDescent="0.25">
      <c r="A31" t="s">
        <v>95</v>
      </c>
      <c r="B31">
        <v>1000</v>
      </c>
    </row>
    <row r="32" spans="1:2" x14ac:dyDescent="0.25">
      <c r="A32" t="s">
        <v>96</v>
      </c>
      <c r="B32">
        <v>1000</v>
      </c>
    </row>
    <row r="33" spans="1:2" x14ac:dyDescent="0.25">
      <c r="A33" t="s">
        <v>100</v>
      </c>
      <c r="B33">
        <v>1000</v>
      </c>
    </row>
    <row r="34" spans="1:2" x14ac:dyDescent="0.25">
      <c r="A34" t="s">
        <v>102</v>
      </c>
      <c r="B34">
        <v>1000</v>
      </c>
    </row>
    <row r="35" spans="1:2" x14ac:dyDescent="0.25">
      <c r="A35" t="s">
        <v>104</v>
      </c>
      <c r="B35">
        <v>1000</v>
      </c>
    </row>
    <row r="36" spans="1:2" x14ac:dyDescent="0.25">
      <c r="A36" t="s">
        <v>106</v>
      </c>
      <c r="B36">
        <v>1000</v>
      </c>
    </row>
    <row r="37" spans="1:2" x14ac:dyDescent="0.25">
      <c r="A37" t="s">
        <v>109</v>
      </c>
      <c r="B37">
        <v>1000</v>
      </c>
    </row>
    <row r="38" spans="1:2" x14ac:dyDescent="0.25">
      <c r="A38" t="s">
        <v>111</v>
      </c>
      <c r="B38">
        <v>1000</v>
      </c>
    </row>
    <row r="39" spans="1:2" x14ac:dyDescent="0.25">
      <c r="A39" t="s">
        <v>113</v>
      </c>
      <c r="B39">
        <v>1000</v>
      </c>
    </row>
    <row r="40" spans="1:2" x14ac:dyDescent="0.25">
      <c r="A40" t="s">
        <v>115</v>
      </c>
      <c r="B40">
        <v>1000</v>
      </c>
    </row>
    <row r="41" spans="1:2" x14ac:dyDescent="0.25">
      <c r="A41" t="s">
        <v>120</v>
      </c>
      <c r="B41">
        <v>1000</v>
      </c>
    </row>
    <row r="42" spans="1:2" x14ac:dyDescent="0.25">
      <c r="A42" t="s">
        <v>121</v>
      </c>
      <c r="B42">
        <v>1000</v>
      </c>
    </row>
    <row r="43" spans="1:2" x14ac:dyDescent="0.25">
      <c r="A43" t="s">
        <v>122</v>
      </c>
      <c r="B43">
        <v>1000</v>
      </c>
    </row>
    <row r="44" spans="1:2" x14ac:dyDescent="0.25">
      <c r="A44" t="s">
        <v>124</v>
      </c>
      <c r="B44">
        <v>1000</v>
      </c>
    </row>
    <row r="45" spans="1:2" x14ac:dyDescent="0.25">
      <c r="A45" t="s">
        <v>129</v>
      </c>
      <c r="B45">
        <v>1000</v>
      </c>
    </row>
    <row r="46" spans="1:2" x14ac:dyDescent="0.25">
      <c r="A46" t="s">
        <v>131</v>
      </c>
      <c r="B46">
        <v>1000</v>
      </c>
    </row>
    <row r="47" spans="1:2" x14ac:dyDescent="0.25">
      <c r="A47" t="s">
        <v>133</v>
      </c>
      <c r="B47">
        <v>1000</v>
      </c>
    </row>
    <row r="48" spans="1:2" x14ac:dyDescent="0.25">
      <c r="A48" t="s">
        <v>134</v>
      </c>
      <c r="B48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95"/>
  <sheetViews>
    <sheetView workbookViewId="0"/>
  </sheetViews>
  <sheetFormatPr defaultColWidth="9.140625" defaultRowHeight="15" x14ac:dyDescent="0.25"/>
  <sheetData>
    <row r="1" spans="1:9" x14ac:dyDescent="0.25">
      <c r="A1" t="s">
        <v>427</v>
      </c>
      <c r="B1" t="s">
        <v>42</v>
      </c>
      <c r="C1" t="s">
        <v>60</v>
      </c>
      <c r="D1" t="s">
        <v>31</v>
      </c>
      <c r="E1" t="s">
        <v>69</v>
      </c>
      <c r="F1" t="s">
        <v>24</v>
      </c>
      <c r="G1" t="s">
        <v>80</v>
      </c>
      <c r="H1" t="s">
        <v>51</v>
      </c>
      <c r="I1" t="s">
        <v>90</v>
      </c>
    </row>
    <row r="2" spans="1:9" x14ac:dyDescent="0.25">
      <c r="A2" t="s">
        <v>428</v>
      </c>
      <c r="B2" t="s">
        <v>42</v>
      </c>
      <c r="C2" t="s">
        <v>60</v>
      </c>
      <c r="D2" t="s">
        <v>31</v>
      </c>
      <c r="E2" t="s">
        <v>69</v>
      </c>
      <c r="F2" t="s">
        <v>24</v>
      </c>
      <c r="G2" t="s">
        <v>80</v>
      </c>
      <c r="H2" t="s">
        <v>51</v>
      </c>
      <c r="I2" t="s">
        <v>99</v>
      </c>
    </row>
    <row r="3" spans="1:9" x14ac:dyDescent="0.25">
      <c r="A3" t="s">
        <v>429</v>
      </c>
      <c r="B3" t="s">
        <v>42</v>
      </c>
      <c r="C3" t="s">
        <v>60</v>
      </c>
      <c r="D3" t="s">
        <v>31</v>
      </c>
      <c r="E3" t="s">
        <v>69</v>
      </c>
      <c r="F3" t="s">
        <v>24</v>
      </c>
      <c r="G3" t="s">
        <v>80</v>
      </c>
      <c r="H3" t="s">
        <v>51</v>
      </c>
      <c r="I3" t="s">
        <v>108</v>
      </c>
    </row>
    <row r="4" spans="1:9" x14ac:dyDescent="0.25">
      <c r="A4" t="s">
        <v>430</v>
      </c>
      <c r="B4" t="s">
        <v>42</v>
      </c>
      <c r="C4" t="s">
        <v>60</v>
      </c>
      <c r="D4" t="s">
        <v>31</v>
      </c>
      <c r="E4" t="s">
        <v>69</v>
      </c>
      <c r="F4" t="s">
        <v>24</v>
      </c>
      <c r="G4" t="s">
        <v>80</v>
      </c>
      <c r="H4" t="s">
        <v>51</v>
      </c>
      <c r="I4" t="s">
        <v>119</v>
      </c>
    </row>
    <row r="5" spans="1:9" x14ac:dyDescent="0.25">
      <c r="A5" t="s">
        <v>431</v>
      </c>
      <c r="B5" t="s">
        <v>42</v>
      </c>
      <c r="C5" t="s">
        <v>69</v>
      </c>
      <c r="D5" t="s">
        <v>31</v>
      </c>
      <c r="E5" t="s">
        <v>51</v>
      </c>
      <c r="F5" t="s">
        <v>24</v>
      </c>
      <c r="G5" t="s">
        <v>80</v>
      </c>
      <c r="H5" t="s">
        <v>128</v>
      </c>
      <c r="I5" t="s">
        <v>60</v>
      </c>
    </row>
    <row r="6" spans="1:9" x14ac:dyDescent="0.25">
      <c r="A6" t="s">
        <v>432</v>
      </c>
      <c r="B6" t="s">
        <v>42</v>
      </c>
      <c r="C6" t="s">
        <v>60</v>
      </c>
      <c r="D6" t="s">
        <v>31</v>
      </c>
      <c r="E6" t="s">
        <v>24</v>
      </c>
      <c r="F6" t="s">
        <v>90</v>
      </c>
      <c r="G6" t="s">
        <v>69</v>
      </c>
      <c r="H6" t="s">
        <v>51</v>
      </c>
      <c r="I6" t="s">
        <v>99</v>
      </c>
    </row>
    <row r="7" spans="1:9" x14ac:dyDescent="0.25">
      <c r="A7" t="s">
        <v>433</v>
      </c>
      <c r="B7" t="s">
        <v>42</v>
      </c>
      <c r="C7" t="s">
        <v>60</v>
      </c>
      <c r="D7" t="s">
        <v>31</v>
      </c>
      <c r="E7" t="s">
        <v>24</v>
      </c>
      <c r="F7" t="s">
        <v>90</v>
      </c>
      <c r="G7" t="s">
        <v>69</v>
      </c>
      <c r="H7" t="s">
        <v>51</v>
      </c>
      <c r="I7" t="s">
        <v>108</v>
      </c>
    </row>
    <row r="8" spans="1:9" x14ac:dyDescent="0.25">
      <c r="A8" t="s">
        <v>434</v>
      </c>
      <c r="B8" t="s">
        <v>42</v>
      </c>
      <c r="C8" t="s">
        <v>60</v>
      </c>
      <c r="D8" t="s">
        <v>31</v>
      </c>
      <c r="E8" t="s">
        <v>24</v>
      </c>
      <c r="F8" t="s">
        <v>90</v>
      </c>
      <c r="G8" t="s">
        <v>69</v>
      </c>
      <c r="H8" t="s">
        <v>51</v>
      </c>
      <c r="I8" t="s">
        <v>119</v>
      </c>
    </row>
    <row r="9" spans="1:9" x14ac:dyDescent="0.25">
      <c r="A9" t="s">
        <v>435</v>
      </c>
      <c r="B9" t="s">
        <v>42</v>
      </c>
      <c r="C9" t="s">
        <v>60</v>
      </c>
      <c r="D9" t="s">
        <v>31</v>
      </c>
      <c r="E9" t="s">
        <v>51</v>
      </c>
      <c r="F9" t="s">
        <v>24</v>
      </c>
      <c r="G9" t="s">
        <v>69</v>
      </c>
      <c r="H9" t="s">
        <v>128</v>
      </c>
      <c r="I9" t="s">
        <v>90</v>
      </c>
    </row>
    <row r="10" spans="1:9" x14ac:dyDescent="0.25">
      <c r="A10" t="s">
        <v>436</v>
      </c>
      <c r="B10" t="s">
        <v>42</v>
      </c>
      <c r="C10" t="s">
        <v>60</v>
      </c>
      <c r="D10" t="s">
        <v>31</v>
      </c>
      <c r="E10" t="s">
        <v>24</v>
      </c>
      <c r="F10" t="s">
        <v>99</v>
      </c>
      <c r="G10" t="s">
        <v>69</v>
      </c>
      <c r="H10" t="s">
        <v>51</v>
      </c>
      <c r="I10" t="s">
        <v>108</v>
      </c>
    </row>
    <row r="11" spans="1:9" x14ac:dyDescent="0.25">
      <c r="A11" t="s">
        <v>437</v>
      </c>
      <c r="B11" t="s">
        <v>42</v>
      </c>
      <c r="C11" t="s">
        <v>60</v>
      </c>
      <c r="D11" t="s">
        <v>31</v>
      </c>
      <c r="E11" t="s">
        <v>24</v>
      </c>
      <c r="F11" t="s">
        <v>99</v>
      </c>
      <c r="G11" t="s">
        <v>69</v>
      </c>
      <c r="H11" t="s">
        <v>51</v>
      </c>
      <c r="I11" t="s">
        <v>119</v>
      </c>
    </row>
    <row r="12" spans="1:9" x14ac:dyDescent="0.25">
      <c r="A12" t="s">
        <v>438</v>
      </c>
      <c r="B12" t="s">
        <v>42</v>
      </c>
      <c r="C12" t="s">
        <v>60</v>
      </c>
      <c r="D12" t="s">
        <v>31</v>
      </c>
      <c r="E12" t="s">
        <v>51</v>
      </c>
      <c r="F12" t="s">
        <v>24</v>
      </c>
      <c r="G12" t="s">
        <v>69</v>
      </c>
      <c r="H12" t="s">
        <v>128</v>
      </c>
      <c r="I12" t="s">
        <v>99</v>
      </c>
    </row>
    <row r="13" spans="1:9" x14ac:dyDescent="0.25">
      <c r="A13" t="s">
        <v>439</v>
      </c>
      <c r="B13" t="s">
        <v>42</v>
      </c>
      <c r="C13" t="s">
        <v>60</v>
      </c>
      <c r="D13" t="s">
        <v>31</v>
      </c>
      <c r="E13" t="s">
        <v>24</v>
      </c>
      <c r="F13" t="s">
        <v>108</v>
      </c>
      <c r="G13" t="s">
        <v>69</v>
      </c>
      <c r="H13" t="s">
        <v>51</v>
      </c>
      <c r="I13" t="s">
        <v>119</v>
      </c>
    </row>
    <row r="14" spans="1:9" x14ac:dyDescent="0.25">
      <c r="A14" t="s">
        <v>440</v>
      </c>
      <c r="B14" t="s">
        <v>42</v>
      </c>
      <c r="C14" t="s">
        <v>60</v>
      </c>
      <c r="D14" t="s">
        <v>31</v>
      </c>
      <c r="E14" t="s">
        <v>51</v>
      </c>
      <c r="F14" t="s">
        <v>24</v>
      </c>
      <c r="G14" t="s">
        <v>69</v>
      </c>
      <c r="H14" t="s">
        <v>128</v>
      </c>
      <c r="I14" t="s">
        <v>108</v>
      </c>
    </row>
    <row r="15" spans="1:9" x14ac:dyDescent="0.25">
      <c r="A15" t="s">
        <v>441</v>
      </c>
      <c r="B15" t="s">
        <v>42</v>
      </c>
      <c r="C15" t="s">
        <v>60</v>
      </c>
      <c r="D15" t="s">
        <v>31</v>
      </c>
      <c r="E15" t="s">
        <v>51</v>
      </c>
      <c r="F15" t="s">
        <v>24</v>
      </c>
      <c r="G15" t="s">
        <v>69</v>
      </c>
      <c r="H15" t="s">
        <v>128</v>
      </c>
      <c r="I15" t="s">
        <v>119</v>
      </c>
    </row>
    <row r="16" spans="1:9" x14ac:dyDescent="0.25">
      <c r="A16" t="s">
        <v>442</v>
      </c>
      <c r="B16" t="s">
        <v>42</v>
      </c>
      <c r="C16" t="s">
        <v>60</v>
      </c>
      <c r="D16" t="s">
        <v>31</v>
      </c>
      <c r="E16" t="s">
        <v>24</v>
      </c>
      <c r="F16" t="s">
        <v>90</v>
      </c>
      <c r="G16" t="s">
        <v>80</v>
      </c>
      <c r="H16" t="s">
        <v>51</v>
      </c>
      <c r="I16" t="s">
        <v>99</v>
      </c>
    </row>
    <row r="17" spans="1:9" x14ac:dyDescent="0.25">
      <c r="A17" t="s">
        <v>443</v>
      </c>
      <c r="B17" t="s">
        <v>42</v>
      </c>
      <c r="C17" t="s">
        <v>60</v>
      </c>
      <c r="D17" t="s">
        <v>31</v>
      </c>
      <c r="E17" t="s">
        <v>24</v>
      </c>
      <c r="F17" t="s">
        <v>90</v>
      </c>
      <c r="G17" t="s">
        <v>80</v>
      </c>
      <c r="H17" t="s">
        <v>51</v>
      </c>
      <c r="I17" t="s">
        <v>108</v>
      </c>
    </row>
    <row r="18" spans="1:9" x14ac:dyDescent="0.25">
      <c r="A18" t="s">
        <v>444</v>
      </c>
      <c r="B18" t="s">
        <v>42</v>
      </c>
      <c r="C18" t="s">
        <v>60</v>
      </c>
      <c r="D18" t="s">
        <v>31</v>
      </c>
      <c r="E18" t="s">
        <v>24</v>
      </c>
      <c r="F18" t="s">
        <v>90</v>
      </c>
      <c r="G18" t="s">
        <v>80</v>
      </c>
      <c r="H18" t="s">
        <v>51</v>
      </c>
      <c r="I18" t="s">
        <v>119</v>
      </c>
    </row>
    <row r="19" spans="1:9" x14ac:dyDescent="0.25">
      <c r="A19" t="s">
        <v>445</v>
      </c>
      <c r="B19" t="s">
        <v>42</v>
      </c>
      <c r="C19" t="s">
        <v>60</v>
      </c>
      <c r="D19" t="s">
        <v>31</v>
      </c>
      <c r="E19" t="s">
        <v>51</v>
      </c>
      <c r="F19" t="s">
        <v>24</v>
      </c>
      <c r="G19" t="s">
        <v>80</v>
      </c>
      <c r="H19" t="s">
        <v>128</v>
      </c>
      <c r="I19" t="s">
        <v>90</v>
      </c>
    </row>
    <row r="20" spans="1:9" x14ac:dyDescent="0.25">
      <c r="A20" t="s">
        <v>446</v>
      </c>
      <c r="B20" t="s">
        <v>42</v>
      </c>
      <c r="C20" t="s">
        <v>60</v>
      </c>
      <c r="D20" t="s">
        <v>31</v>
      </c>
      <c r="E20" t="s">
        <v>24</v>
      </c>
      <c r="F20" t="s">
        <v>99</v>
      </c>
      <c r="G20" t="s">
        <v>80</v>
      </c>
      <c r="H20" t="s">
        <v>51</v>
      </c>
      <c r="I20" t="s">
        <v>108</v>
      </c>
    </row>
    <row r="21" spans="1:9" x14ac:dyDescent="0.25">
      <c r="A21" t="s">
        <v>447</v>
      </c>
      <c r="B21" t="s">
        <v>42</v>
      </c>
      <c r="C21" t="s">
        <v>60</v>
      </c>
      <c r="D21" t="s">
        <v>31</v>
      </c>
      <c r="E21" t="s">
        <v>24</v>
      </c>
      <c r="F21" t="s">
        <v>99</v>
      </c>
      <c r="G21" t="s">
        <v>80</v>
      </c>
      <c r="H21" t="s">
        <v>51</v>
      </c>
      <c r="I21" t="s">
        <v>119</v>
      </c>
    </row>
    <row r="22" spans="1:9" x14ac:dyDescent="0.25">
      <c r="A22" t="s">
        <v>448</v>
      </c>
      <c r="B22" t="s">
        <v>42</v>
      </c>
      <c r="C22" t="s">
        <v>60</v>
      </c>
      <c r="D22" t="s">
        <v>31</v>
      </c>
      <c r="E22" t="s">
        <v>51</v>
      </c>
      <c r="F22" t="s">
        <v>24</v>
      </c>
      <c r="G22" t="s">
        <v>80</v>
      </c>
      <c r="H22" t="s">
        <v>128</v>
      </c>
      <c r="I22" t="s">
        <v>99</v>
      </c>
    </row>
    <row r="23" spans="1:9" x14ac:dyDescent="0.25">
      <c r="A23" t="s">
        <v>449</v>
      </c>
      <c r="B23" t="s">
        <v>42</v>
      </c>
      <c r="C23" t="s">
        <v>60</v>
      </c>
      <c r="D23" t="s">
        <v>31</v>
      </c>
      <c r="E23" t="s">
        <v>24</v>
      </c>
      <c r="F23" t="s">
        <v>108</v>
      </c>
      <c r="G23" t="s">
        <v>80</v>
      </c>
      <c r="H23" t="s">
        <v>51</v>
      </c>
      <c r="I23" t="s">
        <v>119</v>
      </c>
    </row>
    <row r="24" spans="1:9" x14ac:dyDescent="0.25">
      <c r="A24" t="s">
        <v>450</v>
      </c>
      <c r="B24" t="s">
        <v>42</v>
      </c>
      <c r="C24" t="s">
        <v>60</v>
      </c>
      <c r="D24" t="s">
        <v>31</v>
      </c>
      <c r="E24" t="s">
        <v>51</v>
      </c>
      <c r="F24" t="s">
        <v>24</v>
      </c>
      <c r="G24" t="s">
        <v>80</v>
      </c>
      <c r="H24" t="s">
        <v>128</v>
      </c>
      <c r="I24" t="s">
        <v>108</v>
      </c>
    </row>
    <row r="25" spans="1:9" x14ac:dyDescent="0.25">
      <c r="A25" t="s">
        <v>451</v>
      </c>
      <c r="B25" t="s">
        <v>42</v>
      </c>
      <c r="C25" t="s">
        <v>60</v>
      </c>
      <c r="D25" t="s">
        <v>31</v>
      </c>
      <c r="E25" t="s">
        <v>51</v>
      </c>
      <c r="F25" t="s">
        <v>24</v>
      </c>
      <c r="G25" t="s">
        <v>80</v>
      </c>
      <c r="H25" t="s">
        <v>128</v>
      </c>
      <c r="I25" t="s">
        <v>119</v>
      </c>
    </row>
    <row r="26" spans="1:9" x14ac:dyDescent="0.25">
      <c r="A26" t="s">
        <v>452</v>
      </c>
      <c r="B26" t="s">
        <v>42</v>
      </c>
      <c r="C26" t="s">
        <v>60</v>
      </c>
      <c r="D26" t="s">
        <v>31</v>
      </c>
      <c r="E26" t="s">
        <v>24</v>
      </c>
      <c r="F26" t="s">
        <v>90</v>
      </c>
      <c r="G26" t="s">
        <v>51</v>
      </c>
      <c r="H26" t="s">
        <v>99</v>
      </c>
      <c r="I26" t="s">
        <v>108</v>
      </c>
    </row>
    <row r="27" spans="1:9" x14ac:dyDescent="0.25">
      <c r="A27" t="s">
        <v>453</v>
      </c>
      <c r="B27" t="s">
        <v>42</v>
      </c>
      <c r="C27" t="s">
        <v>60</v>
      </c>
      <c r="D27" t="s">
        <v>31</v>
      </c>
      <c r="E27" t="s">
        <v>24</v>
      </c>
      <c r="F27" t="s">
        <v>90</v>
      </c>
      <c r="G27" t="s">
        <v>51</v>
      </c>
      <c r="H27" t="s">
        <v>99</v>
      </c>
      <c r="I27" t="s">
        <v>119</v>
      </c>
    </row>
    <row r="28" spans="1:9" x14ac:dyDescent="0.25">
      <c r="A28" t="s">
        <v>454</v>
      </c>
      <c r="B28" t="s">
        <v>42</v>
      </c>
      <c r="C28" t="s">
        <v>60</v>
      </c>
      <c r="D28" t="s">
        <v>31</v>
      </c>
      <c r="E28" t="s">
        <v>24</v>
      </c>
      <c r="F28" t="s">
        <v>90</v>
      </c>
      <c r="G28" t="s">
        <v>51</v>
      </c>
      <c r="H28" t="s">
        <v>128</v>
      </c>
      <c r="I28" t="s">
        <v>99</v>
      </c>
    </row>
    <row r="29" spans="1:9" x14ac:dyDescent="0.25">
      <c r="A29" t="s">
        <v>455</v>
      </c>
      <c r="B29" t="s">
        <v>42</v>
      </c>
      <c r="C29" t="s">
        <v>60</v>
      </c>
      <c r="D29" t="s">
        <v>31</v>
      </c>
      <c r="E29" t="s">
        <v>24</v>
      </c>
      <c r="F29" t="s">
        <v>90</v>
      </c>
      <c r="G29" t="s">
        <v>51</v>
      </c>
      <c r="H29" t="s">
        <v>108</v>
      </c>
      <c r="I29" t="s">
        <v>119</v>
      </c>
    </row>
    <row r="30" spans="1:9" x14ac:dyDescent="0.25">
      <c r="A30" t="s">
        <v>456</v>
      </c>
      <c r="B30" t="s">
        <v>42</v>
      </c>
      <c r="C30" t="s">
        <v>60</v>
      </c>
      <c r="D30" t="s">
        <v>31</v>
      </c>
      <c r="E30" t="s">
        <v>24</v>
      </c>
      <c r="F30" t="s">
        <v>90</v>
      </c>
      <c r="G30" t="s">
        <v>51</v>
      </c>
      <c r="H30" t="s">
        <v>128</v>
      </c>
      <c r="I30" t="s">
        <v>108</v>
      </c>
    </row>
    <row r="31" spans="1:9" x14ac:dyDescent="0.25">
      <c r="A31" t="s">
        <v>457</v>
      </c>
      <c r="B31" t="s">
        <v>42</v>
      </c>
      <c r="C31" t="s">
        <v>60</v>
      </c>
      <c r="D31" t="s">
        <v>31</v>
      </c>
      <c r="E31" t="s">
        <v>24</v>
      </c>
      <c r="F31" t="s">
        <v>90</v>
      </c>
      <c r="G31" t="s">
        <v>51</v>
      </c>
      <c r="H31" t="s">
        <v>128</v>
      </c>
      <c r="I31" t="s">
        <v>119</v>
      </c>
    </row>
    <row r="32" spans="1:9" x14ac:dyDescent="0.25">
      <c r="A32" t="s">
        <v>458</v>
      </c>
      <c r="B32" t="s">
        <v>42</v>
      </c>
      <c r="C32" t="s">
        <v>60</v>
      </c>
      <c r="D32" t="s">
        <v>31</v>
      </c>
      <c r="E32" t="s">
        <v>24</v>
      </c>
      <c r="F32" t="s">
        <v>99</v>
      </c>
      <c r="G32" t="s">
        <v>51</v>
      </c>
      <c r="H32" t="s">
        <v>108</v>
      </c>
      <c r="I32" t="s">
        <v>119</v>
      </c>
    </row>
    <row r="33" spans="1:9" x14ac:dyDescent="0.25">
      <c r="A33" t="s">
        <v>459</v>
      </c>
      <c r="B33" t="s">
        <v>42</v>
      </c>
      <c r="C33" t="s">
        <v>60</v>
      </c>
      <c r="D33" t="s">
        <v>31</v>
      </c>
      <c r="E33" t="s">
        <v>24</v>
      </c>
      <c r="F33" t="s">
        <v>99</v>
      </c>
      <c r="G33" t="s">
        <v>51</v>
      </c>
      <c r="H33" t="s">
        <v>128</v>
      </c>
      <c r="I33" t="s">
        <v>108</v>
      </c>
    </row>
    <row r="34" spans="1:9" x14ac:dyDescent="0.25">
      <c r="A34" t="s">
        <v>460</v>
      </c>
      <c r="B34" t="s">
        <v>42</v>
      </c>
      <c r="C34" t="s">
        <v>60</v>
      </c>
      <c r="D34" t="s">
        <v>31</v>
      </c>
      <c r="E34" t="s">
        <v>24</v>
      </c>
      <c r="F34" t="s">
        <v>99</v>
      </c>
      <c r="G34" t="s">
        <v>51</v>
      </c>
      <c r="H34" t="s">
        <v>128</v>
      </c>
      <c r="I34" t="s">
        <v>119</v>
      </c>
    </row>
    <row r="35" spans="1:9" x14ac:dyDescent="0.25">
      <c r="A35" t="s">
        <v>461</v>
      </c>
      <c r="B35" t="s">
        <v>42</v>
      </c>
      <c r="C35" t="s">
        <v>60</v>
      </c>
      <c r="D35" t="s">
        <v>31</v>
      </c>
      <c r="E35" t="s">
        <v>24</v>
      </c>
      <c r="F35" t="s">
        <v>108</v>
      </c>
      <c r="G35" t="s">
        <v>51</v>
      </c>
      <c r="H35" t="s">
        <v>128</v>
      </c>
      <c r="I35" t="s">
        <v>119</v>
      </c>
    </row>
    <row r="36" spans="1:9" x14ac:dyDescent="0.25">
      <c r="A36" t="s">
        <v>462</v>
      </c>
      <c r="B36" t="s">
        <v>42</v>
      </c>
      <c r="C36" t="s">
        <v>69</v>
      </c>
      <c r="D36" t="s">
        <v>31</v>
      </c>
      <c r="E36" t="s">
        <v>24</v>
      </c>
      <c r="F36" t="s">
        <v>90</v>
      </c>
      <c r="G36" t="s">
        <v>80</v>
      </c>
      <c r="H36" t="s">
        <v>51</v>
      </c>
      <c r="I36" t="s">
        <v>99</v>
      </c>
    </row>
    <row r="37" spans="1:9" x14ac:dyDescent="0.25">
      <c r="A37" t="s">
        <v>463</v>
      </c>
      <c r="B37" t="s">
        <v>42</v>
      </c>
      <c r="C37" t="s">
        <v>69</v>
      </c>
      <c r="D37" t="s">
        <v>31</v>
      </c>
      <c r="E37" t="s">
        <v>24</v>
      </c>
      <c r="F37" t="s">
        <v>90</v>
      </c>
      <c r="G37" t="s">
        <v>80</v>
      </c>
      <c r="H37" t="s">
        <v>51</v>
      </c>
      <c r="I37" t="s">
        <v>108</v>
      </c>
    </row>
    <row r="38" spans="1:9" x14ac:dyDescent="0.25">
      <c r="A38" t="s">
        <v>464</v>
      </c>
      <c r="B38" t="s">
        <v>42</v>
      </c>
      <c r="C38" t="s">
        <v>69</v>
      </c>
      <c r="D38" t="s">
        <v>31</v>
      </c>
      <c r="E38" t="s">
        <v>24</v>
      </c>
      <c r="F38" t="s">
        <v>90</v>
      </c>
      <c r="G38" t="s">
        <v>80</v>
      </c>
      <c r="H38" t="s">
        <v>51</v>
      </c>
      <c r="I38" t="s">
        <v>119</v>
      </c>
    </row>
    <row r="39" spans="1:9" x14ac:dyDescent="0.25">
      <c r="A39" t="s">
        <v>465</v>
      </c>
      <c r="B39" t="s">
        <v>42</v>
      </c>
      <c r="C39" t="s">
        <v>69</v>
      </c>
      <c r="D39" t="s">
        <v>31</v>
      </c>
      <c r="E39" t="s">
        <v>51</v>
      </c>
      <c r="F39" t="s">
        <v>24</v>
      </c>
      <c r="G39" t="s">
        <v>80</v>
      </c>
      <c r="H39" t="s">
        <v>128</v>
      </c>
      <c r="I39" t="s">
        <v>90</v>
      </c>
    </row>
    <row r="40" spans="1:9" x14ac:dyDescent="0.25">
      <c r="A40" t="s">
        <v>466</v>
      </c>
      <c r="B40" t="s">
        <v>42</v>
      </c>
      <c r="C40" t="s">
        <v>69</v>
      </c>
      <c r="D40" t="s">
        <v>31</v>
      </c>
      <c r="E40" t="s">
        <v>24</v>
      </c>
      <c r="F40" t="s">
        <v>99</v>
      </c>
      <c r="G40" t="s">
        <v>80</v>
      </c>
      <c r="H40" t="s">
        <v>51</v>
      </c>
      <c r="I40" t="s">
        <v>108</v>
      </c>
    </row>
    <row r="41" spans="1:9" x14ac:dyDescent="0.25">
      <c r="A41" t="s">
        <v>467</v>
      </c>
      <c r="B41" t="s">
        <v>42</v>
      </c>
      <c r="C41" t="s">
        <v>69</v>
      </c>
      <c r="D41" t="s">
        <v>31</v>
      </c>
      <c r="E41" t="s">
        <v>24</v>
      </c>
      <c r="F41" t="s">
        <v>99</v>
      </c>
      <c r="G41" t="s">
        <v>80</v>
      </c>
      <c r="H41" t="s">
        <v>51</v>
      </c>
      <c r="I41" t="s">
        <v>119</v>
      </c>
    </row>
    <row r="42" spans="1:9" x14ac:dyDescent="0.25">
      <c r="A42" t="s">
        <v>468</v>
      </c>
      <c r="B42" t="s">
        <v>42</v>
      </c>
      <c r="C42" t="s">
        <v>69</v>
      </c>
      <c r="D42" t="s">
        <v>31</v>
      </c>
      <c r="E42" t="s">
        <v>51</v>
      </c>
      <c r="F42" t="s">
        <v>24</v>
      </c>
      <c r="G42" t="s">
        <v>80</v>
      </c>
      <c r="H42" t="s">
        <v>128</v>
      </c>
      <c r="I42" t="s">
        <v>99</v>
      </c>
    </row>
    <row r="43" spans="1:9" x14ac:dyDescent="0.25">
      <c r="A43" t="s">
        <v>469</v>
      </c>
      <c r="B43" t="s">
        <v>42</v>
      </c>
      <c r="C43" t="s">
        <v>69</v>
      </c>
      <c r="D43" t="s">
        <v>31</v>
      </c>
      <c r="E43" t="s">
        <v>24</v>
      </c>
      <c r="F43" t="s">
        <v>108</v>
      </c>
      <c r="G43" t="s">
        <v>80</v>
      </c>
      <c r="H43" t="s">
        <v>51</v>
      </c>
      <c r="I43" t="s">
        <v>119</v>
      </c>
    </row>
    <row r="44" spans="1:9" x14ac:dyDescent="0.25">
      <c r="A44" t="s">
        <v>470</v>
      </c>
      <c r="B44" t="s">
        <v>42</v>
      </c>
      <c r="C44" t="s">
        <v>69</v>
      </c>
      <c r="D44" t="s">
        <v>31</v>
      </c>
      <c r="E44" t="s">
        <v>51</v>
      </c>
      <c r="F44" t="s">
        <v>24</v>
      </c>
      <c r="G44" t="s">
        <v>80</v>
      </c>
      <c r="H44" t="s">
        <v>128</v>
      </c>
      <c r="I44" t="s">
        <v>108</v>
      </c>
    </row>
    <row r="45" spans="1:9" x14ac:dyDescent="0.25">
      <c r="A45" t="s">
        <v>471</v>
      </c>
      <c r="B45" t="s">
        <v>42</v>
      </c>
      <c r="C45" t="s">
        <v>69</v>
      </c>
      <c r="D45" t="s">
        <v>31</v>
      </c>
      <c r="E45" t="s">
        <v>51</v>
      </c>
      <c r="F45" t="s">
        <v>24</v>
      </c>
      <c r="G45" t="s">
        <v>80</v>
      </c>
      <c r="H45" t="s">
        <v>128</v>
      </c>
      <c r="I45" t="s">
        <v>119</v>
      </c>
    </row>
    <row r="46" spans="1:9" x14ac:dyDescent="0.25">
      <c r="A46" t="s">
        <v>472</v>
      </c>
      <c r="B46" t="s">
        <v>42</v>
      </c>
      <c r="C46" t="s">
        <v>69</v>
      </c>
      <c r="D46" t="s">
        <v>31</v>
      </c>
      <c r="E46" t="s">
        <v>24</v>
      </c>
      <c r="F46" t="s">
        <v>90</v>
      </c>
      <c r="G46" t="s">
        <v>51</v>
      </c>
      <c r="H46" t="s">
        <v>99</v>
      </c>
      <c r="I46" t="s">
        <v>108</v>
      </c>
    </row>
    <row r="47" spans="1:9" x14ac:dyDescent="0.25">
      <c r="A47" t="s">
        <v>473</v>
      </c>
      <c r="B47" t="s">
        <v>42</v>
      </c>
      <c r="C47" t="s">
        <v>69</v>
      </c>
      <c r="D47" t="s">
        <v>31</v>
      </c>
      <c r="E47" t="s">
        <v>24</v>
      </c>
      <c r="F47" t="s">
        <v>90</v>
      </c>
      <c r="G47" t="s">
        <v>51</v>
      </c>
      <c r="H47" t="s">
        <v>99</v>
      </c>
      <c r="I47" t="s">
        <v>119</v>
      </c>
    </row>
    <row r="48" spans="1:9" x14ac:dyDescent="0.25">
      <c r="A48" t="s">
        <v>474</v>
      </c>
      <c r="B48" t="s">
        <v>42</v>
      </c>
      <c r="C48" t="s">
        <v>69</v>
      </c>
      <c r="D48" t="s">
        <v>31</v>
      </c>
      <c r="E48" t="s">
        <v>24</v>
      </c>
      <c r="F48" t="s">
        <v>90</v>
      </c>
      <c r="G48" t="s">
        <v>51</v>
      </c>
      <c r="H48" t="s">
        <v>128</v>
      </c>
      <c r="I48" t="s">
        <v>99</v>
      </c>
    </row>
    <row r="49" spans="1:9" x14ac:dyDescent="0.25">
      <c r="A49" t="s">
        <v>475</v>
      </c>
      <c r="B49" t="s">
        <v>42</v>
      </c>
      <c r="C49" t="s">
        <v>69</v>
      </c>
      <c r="D49" t="s">
        <v>31</v>
      </c>
      <c r="E49" t="s">
        <v>24</v>
      </c>
      <c r="F49" t="s">
        <v>90</v>
      </c>
      <c r="G49" t="s">
        <v>51</v>
      </c>
      <c r="H49" t="s">
        <v>108</v>
      </c>
      <c r="I49" t="s">
        <v>119</v>
      </c>
    </row>
    <row r="50" spans="1:9" x14ac:dyDescent="0.25">
      <c r="A50" t="s">
        <v>476</v>
      </c>
      <c r="B50" t="s">
        <v>42</v>
      </c>
      <c r="C50" t="s">
        <v>69</v>
      </c>
      <c r="D50" t="s">
        <v>31</v>
      </c>
      <c r="E50" t="s">
        <v>24</v>
      </c>
      <c r="F50" t="s">
        <v>90</v>
      </c>
      <c r="G50" t="s">
        <v>51</v>
      </c>
      <c r="H50" t="s">
        <v>128</v>
      </c>
      <c r="I50" t="s">
        <v>108</v>
      </c>
    </row>
    <row r="51" spans="1:9" x14ac:dyDescent="0.25">
      <c r="A51" t="s">
        <v>477</v>
      </c>
      <c r="B51" t="s">
        <v>42</v>
      </c>
      <c r="C51" t="s">
        <v>69</v>
      </c>
      <c r="D51" t="s">
        <v>31</v>
      </c>
      <c r="E51" t="s">
        <v>24</v>
      </c>
      <c r="F51" t="s">
        <v>90</v>
      </c>
      <c r="G51" t="s">
        <v>51</v>
      </c>
      <c r="H51" t="s">
        <v>128</v>
      </c>
      <c r="I51" t="s">
        <v>119</v>
      </c>
    </row>
    <row r="52" spans="1:9" x14ac:dyDescent="0.25">
      <c r="A52" t="s">
        <v>478</v>
      </c>
      <c r="B52" t="s">
        <v>42</v>
      </c>
      <c r="C52" t="s">
        <v>69</v>
      </c>
      <c r="D52" t="s">
        <v>31</v>
      </c>
      <c r="E52" t="s">
        <v>24</v>
      </c>
      <c r="F52" t="s">
        <v>99</v>
      </c>
      <c r="G52" t="s">
        <v>51</v>
      </c>
      <c r="H52" t="s">
        <v>108</v>
      </c>
      <c r="I52" t="s">
        <v>119</v>
      </c>
    </row>
    <row r="53" spans="1:9" x14ac:dyDescent="0.25">
      <c r="A53" t="s">
        <v>479</v>
      </c>
      <c r="B53" t="s">
        <v>42</v>
      </c>
      <c r="C53" t="s">
        <v>69</v>
      </c>
      <c r="D53" t="s">
        <v>31</v>
      </c>
      <c r="E53" t="s">
        <v>24</v>
      </c>
      <c r="F53" t="s">
        <v>99</v>
      </c>
      <c r="G53" t="s">
        <v>51</v>
      </c>
      <c r="H53" t="s">
        <v>128</v>
      </c>
      <c r="I53" t="s">
        <v>108</v>
      </c>
    </row>
    <row r="54" spans="1:9" x14ac:dyDescent="0.25">
      <c r="A54" t="s">
        <v>480</v>
      </c>
      <c r="B54" t="s">
        <v>42</v>
      </c>
      <c r="C54" t="s">
        <v>69</v>
      </c>
      <c r="D54" t="s">
        <v>31</v>
      </c>
      <c r="E54" t="s">
        <v>24</v>
      </c>
      <c r="F54" t="s">
        <v>99</v>
      </c>
      <c r="G54" t="s">
        <v>51</v>
      </c>
      <c r="H54" t="s">
        <v>128</v>
      </c>
      <c r="I54" t="s">
        <v>119</v>
      </c>
    </row>
    <row r="55" spans="1:9" x14ac:dyDescent="0.25">
      <c r="A55" t="s">
        <v>481</v>
      </c>
      <c r="B55" t="s">
        <v>42</v>
      </c>
      <c r="C55" t="s">
        <v>69</v>
      </c>
      <c r="D55" t="s">
        <v>31</v>
      </c>
      <c r="E55" t="s">
        <v>24</v>
      </c>
      <c r="F55" t="s">
        <v>108</v>
      </c>
      <c r="G55" t="s">
        <v>51</v>
      </c>
      <c r="H55" t="s">
        <v>128</v>
      </c>
      <c r="I55" t="s">
        <v>119</v>
      </c>
    </row>
    <row r="56" spans="1:9" x14ac:dyDescent="0.25">
      <c r="A56" t="s">
        <v>482</v>
      </c>
      <c r="B56" t="s">
        <v>42</v>
      </c>
      <c r="C56" t="s">
        <v>80</v>
      </c>
      <c r="D56" t="s">
        <v>31</v>
      </c>
      <c r="E56" t="s">
        <v>24</v>
      </c>
      <c r="F56" t="s">
        <v>90</v>
      </c>
      <c r="G56" t="s">
        <v>51</v>
      </c>
      <c r="H56" t="s">
        <v>99</v>
      </c>
      <c r="I56" t="s">
        <v>108</v>
      </c>
    </row>
    <row r="57" spans="1:9" x14ac:dyDescent="0.25">
      <c r="A57" t="s">
        <v>483</v>
      </c>
      <c r="B57" t="s">
        <v>42</v>
      </c>
      <c r="C57" t="s">
        <v>80</v>
      </c>
      <c r="D57" t="s">
        <v>31</v>
      </c>
      <c r="E57" t="s">
        <v>24</v>
      </c>
      <c r="F57" t="s">
        <v>90</v>
      </c>
      <c r="G57" t="s">
        <v>51</v>
      </c>
      <c r="H57" t="s">
        <v>99</v>
      </c>
      <c r="I57" t="s">
        <v>119</v>
      </c>
    </row>
    <row r="58" spans="1:9" x14ac:dyDescent="0.25">
      <c r="A58" t="s">
        <v>484</v>
      </c>
      <c r="B58" t="s">
        <v>42</v>
      </c>
      <c r="C58" t="s">
        <v>80</v>
      </c>
      <c r="D58" t="s">
        <v>31</v>
      </c>
      <c r="E58" t="s">
        <v>24</v>
      </c>
      <c r="F58" t="s">
        <v>90</v>
      </c>
      <c r="G58" t="s">
        <v>51</v>
      </c>
      <c r="H58" t="s">
        <v>128</v>
      </c>
      <c r="I58" t="s">
        <v>99</v>
      </c>
    </row>
    <row r="59" spans="1:9" x14ac:dyDescent="0.25">
      <c r="A59" t="s">
        <v>485</v>
      </c>
      <c r="B59" t="s">
        <v>42</v>
      </c>
      <c r="C59" t="s">
        <v>80</v>
      </c>
      <c r="D59" t="s">
        <v>31</v>
      </c>
      <c r="E59" t="s">
        <v>24</v>
      </c>
      <c r="F59" t="s">
        <v>90</v>
      </c>
      <c r="G59" t="s">
        <v>51</v>
      </c>
      <c r="H59" t="s">
        <v>108</v>
      </c>
      <c r="I59" t="s">
        <v>119</v>
      </c>
    </row>
    <row r="60" spans="1:9" x14ac:dyDescent="0.25">
      <c r="A60" t="s">
        <v>486</v>
      </c>
      <c r="B60" t="s">
        <v>42</v>
      </c>
      <c r="C60" t="s">
        <v>80</v>
      </c>
      <c r="D60" t="s">
        <v>31</v>
      </c>
      <c r="E60" t="s">
        <v>24</v>
      </c>
      <c r="F60" t="s">
        <v>90</v>
      </c>
      <c r="G60" t="s">
        <v>51</v>
      </c>
      <c r="H60" t="s">
        <v>128</v>
      </c>
      <c r="I60" t="s">
        <v>108</v>
      </c>
    </row>
    <row r="61" spans="1:9" x14ac:dyDescent="0.25">
      <c r="A61" t="s">
        <v>487</v>
      </c>
      <c r="B61" t="s">
        <v>42</v>
      </c>
      <c r="C61" t="s">
        <v>80</v>
      </c>
      <c r="D61" t="s">
        <v>31</v>
      </c>
      <c r="E61" t="s">
        <v>24</v>
      </c>
      <c r="F61" t="s">
        <v>90</v>
      </c>
      <c r="G61" t="s">
        <v>51</v>
      </c>
      <c r="H61" t="s">
        <v>128</v>
      </c>
      <c r="I61" t="s">
        <v>119</v>
      </c>
    </row>
    <row r="62" spans="1:9" x14ac:dyDescent="0.25">
      <c r="A62" t="s">
        <v>488</v>
      </c>
      <c r="B62" t="s">
        <v>42</v>
      </c>
      <c r="C62" t="s">
        <v>80</v>
      </c>
      <c r="D62" t="s">
        <v>31</v>
      </c>
      <c r="E62" t="s">
        <v>24</v>
      </c>
      <c r="F62" t="s">
        <v>99</v>
      </c>
      <c r="G62" t="s">
        <v>51</v>
      </c>
      <c r="H62" t="s">
        <v>108</v>
      </c>
      <c r="I62" t="s">
        <v>119</v>
      </c>
    </row>
    <row r="63" spans="1:9" x14ac:dyDescent="0.25">
      <c r="A63" t="s">
        <v>489</v>
      </c>
      <c r="B63" t="s">
        <v>42</v>
      </c>
      <c r="C63" t="s">
        <v>80</v>
      </c>
      <c r="D63" t="s">
        <v>31</v>
      </c>
      <c r="E63" t="s">
        <v>24</v>
      </c>
      <c r="F63" t="s">
        <v>99</v>
      </c>
      <c r="G63" t="s">
        <v>51</v>
      </c>
      <c r="H63" t="s">
        <v>128</v>
      </c>
      <c r="I63" t="s">
        <v>108</v>
      </c>
    </row>
    <row r="64" spans="1:9" x14ac:dyDescent="0.25">
      <c r="A64" t="s">
        <v>490</v>
      </c>
      <c r="B64" t="s">
        <v>42</v>
      </c>
      <c r="C64" t="s">
        <v>80</v>
      </c>
      <c r="D64" t="s">
        <v>31</v>
      </c>
      <c r="E64" t="s">
        <v>24</v>
      </c>
      <c r="F64" t="s">
        <v>99</v>
      </c>
      <c r="G64" t="s">
        <v>51</v>
      </c>
      <c r="H64" t="s">
        <v>128</v>
      </c>
      <c r="I64" t="s">
        <v>119</v>
      </c>
    </row>
    <row r="65" spans="1:9" x14ac:dyDescent="0.25">
      <c r="A65" t="s">
        <v>491</v>
      </c>
      <c r="B65" t="s">
        <v>42</v>
      </c>
      <c r="C65" t="s">
        <v>80</v>
      </c>
      <c r="D65" t="s">
        <v>31</v>
      </c>
      <c r="E65" t="s">
        <v>24</v>
      </c>
      <c r="F65" t="s">
        <v>108</v>
      </c>
      <c r="G65" t="s">
        <v>51</v>
      </c>
      <c r="H65" t="s">
        <v>128</v>
      </c>
      <c r="I65" t="s">
        <v>119</v>
      </c>
    </row>
    <row r="66" spans="1:9" x14ac:dyDescent="0.25">
      <c r="A66" t="s">
        <v>492</v>
      </c>
      <c r="B66" t="s">
        <v>42</v>
      </c>
      <c r="C66" t="s">
        <v>99</v>
      </c>
      <c r="D66" t="s">
        <v>31</v>
      </c>
      <c r="E66" t="s">
        <v>24</v>
      </c>
      <c r="F66" t="s">
        <v>90</v>
      </c>
      <c r="G66" t="s">
        <v>51</v>
      </c>
      <c r="H66" t="s">
        <v>108</v>
      </c>
      <c r="I66" t="s">
        <v>119</v>
      </c>
    </row>
    <row r="67" spans="1:9" x14ac:dyDescent="0.25">
      <c r="A67" t="s">
        <v>493</v>
      </c>
      <c r="B67" t="s">
        <v>42</v>
      </c>
      <c r="C67" t="s">
        <v>99</v>
      </c>
      <c r="D67" t="s">
        <v>31</v>
      </c>
      <c r="E67" t="s">
        <v>24</v>
      </c>
      <c r="F67" t="s">
        <v>90</v>
      </c>
      <c r="G67" t="s">
        <v>51</v>
      </c>
      <c r="H67" t="s">
        <v>128</v>
      </c>
      <c r="I67" t="s">
        <v>108</v>
      </c>
    </row>
    <row r="68" spans="1:9" x14ac:dyDescent="0.25">
      <c r="A68" t="s">
        <v>494</v>
      </c>
      <c r="B68" t="s">
        <v>42</v>
      </c>
      <c r="C68" t="s">
        <v>99</v>
      </c>
      <c r="D68" t="s">
        <v>31</v>
      </c>
      <c r="E68" t="s">
        <v>24</v>
      </c>
      <c r="F68" t="s">
        <v>90</v>
      </c>
      <c r="G68" t="s">
        <v>51</v>
      </c>
      <c r="H68" t="s">
        <v>128</v>
      </c>
      <c r="I68" t="s">
        <v>119</v>
      </c>
    </row>
    <row r="69" spans="1:9" x14ac:dyDescent="0.25">
      <c r="A69" t="s">
        <v>495</v>
      </c>
      <c r="B69" t="s">
        <v>42</v>
      </c>
      <c r="C69" t="s">
        <v>108</v>
      </c>
      <c r="D69" t="s">
        <v>31</v>
      </c>
      <c r="E69" t="s">
        <v>24</v>
      </c>
      <c r="F69" t="s">
        <v>90</v>
      </c>
      <c r="G69" t="s">
        <v>51</v>
      </c>
      <c r="H69" t="s">
        <v>128</v>
      </c>
      <c r="I69" t="s">
        <v>119</v>
      </c>
    </row>
    <row r="70" spans="1:9" x14ac:dyDescent="0.25">
      <c r="A70" t="s">
        <v>496</v>
      </c>
      <c r="B70" t="s">
        <v>42</v>
      </c>
      <c r="C70" t="s">
        <v>99</v>
      </c>
      <c r="D70" t="s">
        <v>31</v>
      </c>
      <c r="E70" t="s">
        <v>24</v>
      </c>
      <c r="F70" t="s">
        <v>108</v>
      </c>
      <c r="G70" t="s">
        <v>51</v>
      </c>
      <c r="H70" t="s">
        <v>128</v>
      </c>
      <c r="I70" t="s">
        <v>119</v>
      </c>
    </row>
    <row r="71" spans="1:9" x14ac:dyDescent="0.25">
      <c r="A71" t="s">
        <v>497</v>
      </c>
      <c r="B71" t="s">
        <v>42</v>
      </c>
      <c r="C71" t="s">
        <v>60</v>
      </c>
      <c r="D71" t="s">
        <v>31</v>
      </c>
      <c r="E71" t="s">
        <v>69</v>
      </c>
      <c r="F71" t="s">
        <v>24</v>
      </c>
      <c r="G71" t="s">
        <v>80</v>
      </c>
      <c r="H71" t="s">
        <v>99</v>
      </c>
      <c r="I71" t="s">
        <v>90</v>
      </c>
    </row>
    <row r="72" spans="1:9" x14ac:dyDescent="0.25">
      <c r="A72" t="s">
        <v>498</v>
      </c>
      <c r="B72" t="s">
        <v>42</v>
      </c>
      <c r="C72" t="s">
        <v>60</v>
      </c>
      <c r="D72" t="s">
        <v>31</v>
      </c>
      <c r="E72" t="s">
        <v>69</v>
      </c>
      <c r="F72" t="s">
        <v>24</v>
      </c>
      <c r="G72" t="s">
        <v>80</v>
      </c>
      <c r="H72" t="s">
        <v>108</v>
      </c>
      <c r="I72" t="s">
        <v>90</v>
      </c>
    </row>
    <row r="73" spans="1:9" x14ac:dyDescent="0.25">
      <c r="A73" t="s">
        <v>499</v>
      </c>
      <c r="B73" t="s">
        <v>42</v>
      </c>
      <c r="C73" t="s">
        <v>69</v>
      </c>
      <c r="D73" t="s">
        <v>31</v>
      </c>
      <c r="E73" t="s">
        <v>24</v>
      </c>
      <c r="F73" t="s">
        <v>90</v>
      </c>
      <c r="G73" t="s">
        <v>80</v>
      </c>
      <c r="H73" t="s">
        <v>60</v>
      </c>
      <c r="I73" t="s">
        <v>119</v>
      </c>
    </row>
    <row r="74" spans="1:9" x14ac:dyDescent="0.25">
      <c r="A74" t="s">
        <v>500</v>
      </c>
      <c r="B74" t="s">
        <v>42</v>
      </c>
      <c r="C74" t="s">
        <v>60</v>
      </c>
      <c r="D74" t="s">
        <v>31</v>
      </c>
      <c r="E74" t="s">
        <v>69</v>
      </c>
      <c r="F74" t="s">
        <v>24</v>
      </c>
      <c r="G74" t="s">
        <v>80</v>
      </c>
      <c r="H74" t="s">
        <v>128</v>
      </c>
      <c r="I74" t="s">
        <v>90</v>
      </c>
    </row>
    <row r="75" spans="1:9" x14ac:dyDescent="0.25">
      <c r="A75" t="s">
        <v>501</v>
      </c>
      <c r="B75" t="s">
        <v>42</v>
      </c>
      <c r="C75" t="s">
        <v>60</v>
      </c>
      <c r="D75" t="s">
        <v>31</v>
      </c>
      <c r="E75" t="s">
        <v>69</v>
      </c>
      <c r="F75" t="s">
        <v>24</v>
      </c>
      <c r="G75" t="s">
        <v>80</v>
      </c>
      <c r="H75" t="s">
        <v>99</v>
      </c>
      <c r="I75" t="s">
        <v>108</v>
      </c>
    </row>
    <row r="76" spans="1:9" x14ac:dyDescent="0.25">
      <c r="A76" t="s">
        <v>502</v>
      </c>
      <c r="B76" t="s">
        <v>42</v>
      </c>
      <c r="C76" t="s">
        <v>60</v>
      </c>
      <c r="D76" t="s">
        <v>31</v>
      </c>
      <c r="E76" t="s">
        <v>69</v>
      </c>
      <c r="F76" t="s">
        <v>24</v>
      </c>
      <c r="G76" t="s">
        <v>80</v>
      </c>
      <c r="H76" t="s">
        <v>99</v>
      </c>
      <c r="I76" t="s">
        <v>119</v>
      </c>
    </row>
    <row r="77" spans="1:9" x14ac:dyDescent="0.25">
      <c r="A77" t="s">
        <v>503</v>
      </c>
      <c r="B77" t="s">
        <v>42</v>
      </c>
      <c r="C77" t="s">
        <v>60</v>
      </c>
      <c r="D77" t="s">
        <v>31</v>
      </c>
      <c r="E77" t="s">
        <v>69</v>
      </c>
      <c r="F77" t="s">
        <v>24</v>
      </c>
      <c r="G77" t="s">
        <v>80</v>
      </c>
      <c r="H77" t="s">
        <v>128</v>
      </c>
      <c r="I77" t="s">
        <v>99</v>
      </c>
    </row>
    <row r="78" spans="1:9" x14ac:dyDescent="0.25">
      <c r="A78" t="s">
        <v>504</v>
      </c>
      <c r="B78" t="s">
        <v>42</v>
      </c>
      <c r="C78" t="s">
        <v>60</v>
      </c>
      <c r="D78" t="s">
        <v>31</v>
      </c>
      <c r="E78" t="s">
        <v>69</v>
      </c>
      <c r="F78" t="s">
        <v>24</v>
      </c>
      <c r="G78" t="s">
        <v>80</v>
      </c>
      <c r="H78" t="s">
        <v>108</v>
      </c>
      <c r="I78" t="s">
        <v>119</v>
      </c>
    </row>
    <row r="79" spans="1:9" x14ac:dyDescent="0.25">
      <c r="A79" t="s">
        <v>505</v>
      </c>
      <c r="B79" t="s">
        <v>42</v>
      </c>
      <c r="C79" t="s">
        <v>60</v>
      </c>
      <c r="D79" t="s">
        <v>31</v>
      </c>
      <c r="E79" t="s">
        <v>69</v>
      </c>
      <c r="F79" t="s">
        <v>24</v>
      </c>
      <c r="G79" t="s">
        <v>80</v>
      </c>
      <c r="H79" t="s">
        <v>128</v>
      </c>
      <c r="I79" t="s">
        <v>108</v>
      </c>
    </row>
    <row r="80" spans="1:9" x14ac:dyDescent="0.25">
      <c r="A80" t="s">
        <v>506</v>
      </c>
      <c r="B80" t="s">
        <v>42</v>
      </c>
      <c r="C80" t="s">
        <v>60</v>
      </c>
      <c r="D80" t="s">
        <v>31</v>
      </c>
      <c r="E80" t="s">
        <v>69</v>
      </c>
      <c r="F80" t="s">
        <v>24</v>
      </c>
      <c r="G80" t="s">
        <v>80</v>
      </c>
      <c r="H80" t="s">
        <v>128</v>
      </c>
      <c r="I80" t="s">
        <v>119</v>
      </c>
    </row>
    <row r="81" spans="1:9" x14ac:dyDescent="0.25">
      <c r="A81" t="s">
        <v>507</v>
      </c>
      <c r="B81" t="s">
        <v>42</v>
      </c>
      <c r="C81" t="s">
        <v>60</v>
      </c>
      <c r="D81" t="s">
        <v>31</v>
      </c>
      <c r="E81" t="s">
        <v>24</v>
      </c>
      <c r="F81" t="s">
        <v>90</v>
      </c>
      <c r="G81" t="s">
        <v>69</v>
      </c>
      <c r="H81" t="s">
        <v>99</v>
      </c>
      <c r="I81" t="s">
        <v>108</v>
      </c>
    </row>
    <row r="82" spans="1:9" x14ac:dyDescent="0.25">
      <c r="A82" t="s">
        <v>508</v>
      </c>
      <c r="B82" t="s">
        <v>42</v>
      </c>
      <c r="C82" t="s">
        <v>60</v>
      </c>
      <c r="D82" t="s">
        <v>31</v>
      </c>
      <c r="E82" t="s">
        <v>24</v>
      </c>
      <c r="F82" t="s">
        <v>90</v>
      </c>
      <c r="G82" t="s">
        <v>69</v>
      </c>
      <c r="H82" t="s">
        <v>99</v>
      </c>
      <c r="I82" t="s">
        <v>119</v>
      </c>
    </row>
    <row r="83" spans="1:9" x14ac:dyDescent="0.25">
      <c r="A83" t="s">
        <v>509</v>
      </c>
      <c r="B83" t="s">
        <v>42</v>
      </c>
      <c r="C83" t="s">
        <v>60</v>
      </c>
      <c r="D83" t="s">
        <v>31</v>
      </c>
      <c r="E83" t="s">
        <v>24</v>
      </c>
      <c r="F83" t="s">
        <v>90</v>
      </c>
      <c r="G83" t="s">
        <v>69</v>
      </c>
      <c r="H83" t="s">
        <v>128</v>
      </c>
      <c r="I83" t="s">
        <v>99</v>
      </c>
    </row>
    <row r="84" spans="1:9" x14ac:dyDescent="0.25">
      <c r="A84" t="s">
        <v>510</v>
      </c>
      <c r="B84" t="s">
        <v>42</v>
      </c>
      <c r="C84" t="s">
        <v>60</v>
      </c>
      <c r="D84" t="s">
        <v>31</v>
      </c>
      <c r="E84" t="s">
        <v>24</v>
      </c>
      <c r="F84" t="s">
        <v>90</v>
      </c>
      <c r="G84" t="s">
        <v>69</v>
      </c>
      <c r="H84" t="s">
        <v>108</v>
      </c>
      <c r="I84" t="s">
        <v>119</v>
      </c>
    </row>
    <row r="85" spans="1:9" x14ac:dyDescent="0.25">
      <c r="A85" t="s">
        <v>511</v>
      </c>
      <c r="B85" t="s">
        <v>42</v>
      </c>
      <c r="C85" t="s">
        <v>60</v>
      </c>
      <c r="D85" t="s">
        <v>31</v>
      </c>
      <c r="E85" t="s">
        <v>24</v>
      </c>
      <c r="F85" t="s">
        <v>90</v>
      </c>
      <c r="G85" t="s">
        <v>69</v>
      </c>
      <c r="H85" t="s">
        <v>128</v>
      </c>
      <c r="I85" t="s">
        <v>108</v>
      </c>
    </row>
    <row r="86" spans="1:9" x14ac:dyDescent="0.25">
      <c r="A86" t="s">
        <v>512</v>
      </c>
      <c r="B86" t="s">
        <v>42</v>
      </c>
      <c r="C86" t="s">
        <v>60</v>
      </c>
      <c r="D86" t="s">
        <v>31</v>
      </c>
      <c r="E86" t="s">
        <v>24</v>
      </c>
      <c r="F86" t="s">
        <v>90</v>
      </c>
      <c r="G86" t="s">
        <v>69</v>
      </c>
      <c r="H86" t="s">
        <v>128</v>
      </c>
      <c r="I86" t="s">
        <v>119</v>
      </c>
    </row>
    <row r="87" spans="1:9" x14ac:dyDescent="0.25">
      <c r="A87" t="s">
        <v>513</v>
      </c>
      <c r="B87" t="s">
        <v>42</v>
      </c>
      <c r="C87" t="s">
        <v>60</v>
      </c>
      <c r="D87" t="s">
        <v>31</v>
      </c>
      <c r="E87" t="s">
        <v>24</v>
      </c>
      <c r="F87" t="s">
        <v>99</v>
      </c>
      <c r="G87" t="s">
        <v>69</v>
      </c>
      <c r="H87" t="s">
        <v>108</v>
      </c>
      <c r="I87" t="s">
        <v>119</v>
      </c>
    </row>
    <row r="88" spans="1:9" x14ac:dyDescent="0.25">
      <c r="A88" t="s">
        <v>514</v>
      </c>
      <c r="B88" t="s">
        <v>42</v>
      </c>
      <c r="C88" t="s">
        <v>60</v>
      </c>
      <c r="D88" t="s">
        <v>31</v>
      </c>
      <c r="E88" t="s">
        <v>24</v>
      </c>
      <c r="F88" t="s">
        <v>99</v>
      </c>
      <c r="G88" t="s">
        <v>69</v>
      </c>
      <c r="H88" t="s">
        <v>128</v>
      </c>
      <c r="I88" t="s">
        <v>108</v>
      </c>
    </row>
    <row r="89" spans="1:9" x14ac:dyDescent="0.25">
      <c r="A89" t="s">
        <v>515</v>
      </c>
      <c r="B89" t="s">
        <v>42</v>
      </c>
      <c r="C89" t="s">
        <v>60</v>
      </c>
      <c r="D89" t="s">
        <v>31</v>
      </c>
      <c r="E89" t="s">
        <v>24</v>
      </c>
      <c r="F89" t="s">
        <v>99</v>
      </c>
      <c r="G89" t="s">
        <v>69</v>
      </c>
      <c r="H89" t="s">
        <v>128</v>
      </c>
      <c r="I89" t="s">
        <v>119</v>
      </c>
    </row>
    <row r="90" spans="1:9" x14ac:dyDescent="0.25">
      <c r="A90" t="s">
        <v>516</v>
      </c>
      <c r="B90" t="s">
        <v>42</v>
      </c>
      <c r="C90" t="s">
        <v>60</v>
      </c>
      <c r="D90" t="s">
        <v>31</v>
      </c>
      <c r="E90" t="s">
        <v>24</v>
      </c>
      <c r="F90" t="s">
        <v>108</v>
      </c>
      <c r="G90" t="s">
        <v>69</v>
      </c>
      <c r="H90" t="s">
        <v>128</v>
      </c>
      <c r="I90" t="s">
        <v>119</v>
      </c>
    </row>
    <row r="91" spans="1:9" x14ac:dyDescent="0.25">
      <c r="A91" t="s">
        <v>517</v>
      </c>
      <c r="B91" t="s">
        <v>42</v>
      </c>
      <c r="C91" t="s">
        <v>60</v>
      </c>
      <c r="D91" t="s">
        <v>31</v>
      </c>
      <c r="E91" t="s">
        <v>24</v>
      </c>
      <c r="F91" t="s">
        <v>90</v>
      </c>
      <c r="G91" t="s">
        <v>80</v>
      </c>
      <c r="H91" t="s">
        <v>99</v>
      </c>
      <c r="I91" t="s">
        <v>108</v>
      </c>
    </row>
    <row r="92" spans="1:9" x14ac:dyDescent="0.25">
      <c r="A92" t="s">
        <v>518</v>
      </c>
      <c r="B92" t="s">
        <v>42</v>
      </c>
      <c r="C92" t="s">
        <v>60</v>
      </c>
      <c r="D92" t="s">
        <v>31</v>
      </c>
      <c r="E92" t="s">
        <v>24</v>
      </c>
      <c r="F92" t="s">
        <v>90</v>
      </c>
      <c r="G92" t="s">
        <v>80</v>
      </c>
      <c r="H92" t="s">
        <v>99</v>
      </c>
      <c r="I92" t="s">
        <v>119</v>
      </c>
    </row>
    <row r="93" spans="1:9" x14ac:dyDescent="0.25">
      <c r="A93" t="s">
        <v>519</v>
      </c>
      <c r="B93" t="s">
        <v>42</v>
      </c>
      <c r="C93" t="s">
        <v>60</v>
      </c>
      <c r="D93" t="s">
        <v>31</v>
      </c>
      <c r="E93" t="s">
        <v>24</v>
      </c>
      <c r="F93" t="s">
        <v>90</v>
      </c>
      <c r="G93" t="s">
        <v>80</v>
      </c>
      <c r="H93" t="s">
        <v>128</v>
      </c>
      <c r="I93" t="s">
        <v>99</v>
      </c>
    </row>
    <row r="94" spans="1:9" x14ac:dyDescent="0.25">
      <c r="A94" t="s">
        <v>520</v>
      </c>
      <c r="B94" t="s">
        <v>42</v>
      </c>
      <c r="C94" t="s">
        <v>60</v>
      </c>
      <c r="D94" t="s">
        <v>31</v>
      </c>
      <c r="E94" t="s">
        <v>24</v>
      </c>
      <c r="F94" t="s">
        <v>90</v>
      </c>
      <c r="G94" t="s">
        <v>80</v>
      </c>
      <c r="H94" t="s">
        <v>108</v>
      </c>
      <c r="I94" t="s">
        <v>119</v>
      </c>
    </row>
    <row r="95" spans="1:9" x14ac:dyDescent="0.25">
      <c r="A95" t="s">
        <v>521</v>
      </c>
      <c r="B95" t="s">
        <v>42</v>
      </c>
      <c r="C95" t="s">
        <v>60</v>
      </c>
      <c r="D95" t="s">
        <v>31</v>
      </c>
      <c r="E95" t="s">
        <v>24</v>
      </c>
      <c r="F95" t="s">
        <v>90</v>
      </c>
      <c r="G95" t="s">
        <v>80</v>
      </c>
      <c r="H95" t="s">
        <v>128</v>
      </c>
      <c r="I95" t="s">
        <v>108</v>
      </c>
    </row>
    <row r="96" spans="1:9" x14ac:dyDescent="0.25">
      <c r="A96" t="s">
        <v>522</v>
      </c>
      <c r="B96" t="s">
        <v>42</v>
      </c>
      <c r="C96" t="s">
        <v>60</v>
      </c>
      <c r="D96" t="s">
        <v>31</v>
      </c>
      <c r="E96" t="s">
        <v>24</v>
      </c>
      <c r="F96" t="s">
        <v>90</v>
      </c>
      <c r="G96" t="s">
        <v>80</v>
      </c>
      <c r="H96" t="s">
        <v>128</v>
      </c>
      <c r="I96" t="s">
        <v>119</v>
      </c>
    </row>
    <row r="97" spans="1:9" x14ac:dyDescent="0.25">
      <c r="A97" t="s">
        <v>523</v>
      </c>
      <c r="B97" t="s">
        <v>42</v>
      </c>
      <c r="C97" t="s">
        <v>60</v>
      </c>
      <c r="D97" t="s">
        <v>31</v>
      </c>
      <c r="E97" t="s">
        <v>24</v>
      </c>
      <c r="F97" t="s">
        <v>99</v>
      </c>
      <c r="G97" t="s">
        <v>80</v>
      </c>
      <c r="H97" t="s">
        <v>108</v>
      </c>
      <c r="I97" t="s">
        <v>119</v>
      </c>
    </row>
    <row r="98" spans="1:9" x14ac:dyDescent="0.25">
      <c r="A98" t="s">
        <v>524</v>
      </c>
      <c r="B98" t="s">
        <v>42</v>
      </c>
      <c r="C98" t="s">
        <v>60</v>
      </c>
      <c r="D98" t="s">
        <v>31</v>
      </c>
      <c r="E98" t="s">
        <v>24</v>
      </c>
      <c r="F98" t="s">
        <v>99</v>
      </c>
      <c r="G98" t="s">
        <v>80</v>
      </c>
      <c r="H98" t="s">
        <v>128</v>
      </c>
      <c r="I98" t="s">
        <v>108</v>
      </c>
    </row>
    <row r="99" spans="1:9" x14ac:dyDescent="0.25">
      <c r="A99" t="s">
        <v>525</v>
      </c>
      <c r="B99" t="s">
        <v>42</v>
      </c>
      <c r="C99" t="s">
        <v>60</v>
      </c>
      <c r="D99" t="s">
        <v>31</v>
      </c>
      <c r="E99" t="s">
        <v>24</v>
      </c>
      <c r="F99" t="s">
        <v>99</v>
      </c>
      <c r="G99" t="s">
        <v>80</v>
      </c>
      <c r="H99" t="s">
        <v>128</v>
      </c>
      <c r="I99" t="s">
        <v>119</v>
      </c>
    </row>
    <row r="100" spans="1:9" x14ac:dyDescent="0.25">
      <c r="A100" t="s">
        <v>526</v>
      </c>
      <c r="B100" t="s">
        <v>42</v>
      </c>
      <c r="C100" t="s">
        <v>60</v>
      </c>
      <c r="D100" t="s">
        <v>31</v>
      </c>
      <c r="E100" t="s">
        <v>24</v>
      </c>
      <c r="F100" t="s">
        <v>108</v>
      </c>
      <c r="G100" t="s">
        <v>80</v>
      </c>
      <c r="H100" t="s">
        <v>128</v>
      </c>
      <c r="I100" t="s">
        <v>119</v>
      </c>
    </row>
    <row r="101" spans="1:9" x14ac:dyDescent="0.25">
      <c r="A101" t="s">
        <v>527</v>
      </c>
      <c r="B101" t="s">
        <v>42</v>
      </c>
      <c r="C101" t="s">
        <v>60</v>
      </c>
      <c r="D101" t="s">
        <v>31</v>
      </c>
      <c r="E101" t="s">
        <v>24</v>
      </c>
      <c r="F101" t="s">
        <v>99</v>
      </c>
      <c r="G101" t="s">
        <v>90</v>
      </c>
      <c r="H101" t="s">
        <v>108</v>
      </c>
      <c r="I101" t="s">
        <v>119</v>
      </c>
    </row>
    <row r="102" spans="1:9" x14ac:dyDescent="0.25">
      <c r="A102" t="s">
        <v>528</v>
      </c>
      <c r="B102" t="s">
        <v>42</v>
      </c>
      <c r="C102" t="s">
        <v>60</v>
      </c>
      <c r="D102" t="s">
        <v>31</v>
      </c>
      <c r="E102" t="s">
        <v>24</v>
      </c>
      <c r="F102" t="s">
        <v>99</v>
      </c>
      <c r="G102" t="s">
        <v>90</v>
      </c>
      <c r="H102" t="s">
        <v>128</v>
      </c>
      <c r="I102" t="s">
        <v>108</v>
      </c>
    </row>
    <row r="103" spans="1:9" x14ac:dyDescent="0.25">
      <c r="A103" t="s">
        <v>529</v>
      </c>
      <c r="B103" t="s">
        <v>42</v>
      </c>
      <c r="C103" t="s">
        <v>60</v>
      </c>
      <c r="D103" t="s">
        <v>31</v>
      </c>
      <c r="E103" t="s">
        <v>24</v>
      </c>
      <c r="F103" t="s">
        <v>99</v>
      </c>
      <c r="G103" t="s">
        <v>90</v>
      </c>
      <c r="H103" t="s">
        <v>128</v>
      </c>
      <c r="I103" t="s">
        <v>119</v>
      </c>
    </row>
    <row r="104" spans="1:9" x14ac:dyDescent="0.25">
      <c r="A104" t="s">
        <v>530</v>
      </c>
      <c r="B104" t="s">
        <v>42</v>
      </c>
      <c r="C104" t="s">
        <v>60</v>
      </c>
      <c r="D104" t="s">
        <v>31</v>
      </c>
      <c r="E104" t="s">
        <v>24</v>
      </c>
      <c r="F104" t="s">
        <v>108</v>
      </c>
      <c r="G104" t="s">
        <v>90</v>
      </c>
      <c r="H104" t="s">
        <v>128</v>
      </c>
      <c r="I104" t="s">
        <v>119</v>
      </c>
    </row>
    <row r="105" spans="1:9" x14ac:dyDescent="0.25">
      <c r="A105" t="s">
        <v>531</v>
      </c>
      <c r="B105" t="s">
        <v>60</v>
      </c>
      <c r="C105" t="s">
        <v>99</v>
      </c>
      <c r="D105" t="s">
        <v>31</v>
      </c>
      <c r="E105" t="s">
        <v>24</v>
      </c>
      <c r="F105" t="s">
        <v>108</v>
      </c>
      <c r="G105" t="s">
        <v>42</v>
      </c>
      <c r="H105" t="s">
        <v>128</v>
      </c>
      <c r="I105" t="s">
        <v>119</v>
      </c>
    </row>
    <row r="106" spans="1:9" x14ac:dyDescent="0.25">
      <c r="A106" t="s">
        <v>532</v>
      </c>
      <c r="B106" t="s">
        <v>42</v>
      </c>
      <c r="C106" t="s">
        <v>69</v>
      </c>
      <c r="D106" t="s">
        <v>31</v>
      </c>
      <c r="E106" t="s">
        <v>24</v>
      </c>
      <c r="F106" t="s">
        <v>90</v>
      </c>
      <c r="G106" t="s">
        <v>80</v>
      </c>
      <c r="H106" t="s">
        <v>99</v>
      </c>
      <c r="I106" t="s">
        <v>108</v>
      </c>
    </row>
    <row r="107" spans="1:9" x14ac:dyDescent="0.25">
      <c r="A107" t="s">
        <v>533</v>
      </c>
      <c r="B107" t="s">
        <v>42</v>
      </c>
      <c r="C107" t="s">
        <v>69</v>
      </c>
      <c r="D107" t="s">
        <v>31</v>
      </c>
      <c r="E107" t="s">
        <v>24</v>
      </c>
      <c r="F107" t="s">
        <v>90</v>
      </c>
      <c r="G107" t="s">
        <v>80</v>
      </c>
      <c r="H107" t="s">
        <v>99</v>
      </c>
      <c r="I107" t="s">
        <v>119</v>
      </c>
    </row>
    <row r="108" spans="1:9" x14ac:dyDescent="0.25">
      <c r="A108" t="s">
        <v>534</v>
      </c>
      <c r="B108" t="s">
        <v>42</v>
      </c>
      <c r="C108" t="s">
        <v>69</v>
      </c>
      <c r="D108" t="s">
        <v>31</v>
      </c>
      <c r="E108" t="s">
        <v>24</v>
      </c>
      <c r="F108" t="s">
        <v>90</v>
      </c>
      <c r="G108" t="s">
        <v>80</v>
      </c>
      <c r="H108" t="s">
        <v>128</v>
      </c>
      <c r="I108" t="s">
        <v>99</v>
      </c>
    </row>
    <row r="109" spans="1:9" x14ac:dyDescent="0.25">
      <c r="A109" t="s">
        <v>535</v>
      </c>
      <c r="B109" t="s">
        <v>42</v>
      </c>
      <c r="C109" t="s">
        <v>69</v>
      </c>
      <c r="D109" t="s">
        <v>31</v>
      </c>
      <c r="E109" t="s">
        <v>24</v>
      </c>
      <c r="F109" t="s">
        <v>90</v>
      </c>
      <c r="G109" t="s">
        <v>80</v>
      </c>
      <c r="H109" t="s">
        <v>108</v>
      </c>
      <c r="I109" t="s">
        <v>119</v>
      </c>
    </row>
    <row r="110" spans="1:9" x14ac:dyDescent="0.25">
      <c r="A110" t="s">
        <v>536</v>
      </c>
      <c r="B110" t="s">
        <v>42</v>
      </c>
      <c r="C110" t="s">
        <v>69</v>
      </c>
      <c r="D110" t="s">
        <v>31</v>
      </c>
      <c r="E110" t="s">
        <v>24</v>
      </c>
      <c r="F110" t="s">
        <v>90</v>
      </c>
      <c r="G110" t="s">
        <v>80</v>
      </c>
      <c r="H110" t="s">
        <v>128</v>
      </c>
      <c r="I110" t="s">
        <v>108</v>
      </c>
    </row>
    <row r="111" spans="1:9" x14ac:dyDescent="0.25">
      <c r="A111" t="s">
        <v>537</v>
      </c>
      <c r="B111" t="s">
        <v>42</v>
      </c>
      <c r="C111" t="s">
        <v>69</v>
      </c>
      <c r="D111" t="s">
        <v>31</v>
      </c>
      <c r="E111" t="s">
        <v>24</v>
      </c>
      <c r="F111" t="s">
        <v>90</v>
      </c>
      <c r="G111" t="s">
        <v>80</v>
      </c>
      <c r="H111" t="s">
        <v>128</v>
      </c>
      <c r="I111" t="s">
        <v>119</v>
      </c>
    </row>
    <row r="112" spans="1:9" x14ac:dyDescent="0.25">
      <c r="A112" t="s">
        <v>538</v>
      </c>
      <c r="B112" t="s">
        <v>42</v>
      </c>
      <c r="C112" t="s">
        <v>69</v>
      </c>
      <c r="D112" t="s">
        <v>31</v>
      </c>
      <c r="E112" t="s">
        <v>24</v>
      </c>
      <c r="F112" t="s">
        <v>99</v>
      </c>
      <c r="G112" t="s">
        <v>80</v>
      </c>
      <c r="H112" t="s">
        <v>108</v>
      </c>
      <c r="I112" t="s">
        <v>119</v>
      </c>
    </row>
    <row r="113" spans="1:9" x14ac:dyDescent="0.25">
      <c r="A113" t="s">
        <v>539</v>
      </c>
      <c r="B113" t="s">
        <v>42</v>
      </c>
      <c r="C113" t="s">
        <v>69</v>
      </c>
      <c r="D113" t="s">
        <v>31</v>
      </c>
      <c r="E113" t="s">
        <v>24</v>
      </c>
      <c r="F113" t="s">
        <v>99</v>
      </c>
      <c r="G113" t="s">
        <v>80</v>
      </c>
      <c r="H113" t="s">
        <v>128</v>
      </c>
      <c r="I113" t="s">
        <v>108</v>
      </c>
    </row>
    <row r="114" spans="1:9" x14ac:dyDescent="0.25">
      <c r="A114" t="s">
        <v>540</v>
      </c>
      <c r="B114" t="s">
        <v>42</v>
      </c>
      <c r="C114" t="s">
        <v>69</v>
      </c>
      <c r="D114" t="s">
        <v>31</v>
      </c>
      <c r="E114" t="s">
        <v>24</v>
      </c>
      <c r="F114" t="s">
        <v>99</v>
      </c>
      <c r="G114" t="s">
        <v>80</v>
      </c>
      <c r="H114" t="s">
        <v>128</v>
      </c>
      <c r="I114" t="s">
        <v>119</v>
      </c>
    </row>
    <row r="115" spans="1:9" x14ac:dyDescent="0.25">
      <c r="A115" t="s">
        <v>541</v>
      </c>
      <c r="B115" t="s">
        <v>42</v>
      </c>
      <c r="C115" t="s">
        <v>69</v>
      </c>
      <c r="D115" t="s">
        <v>31</v>
      </c>
      <c r="E115" t="s">
        <v>24</v>
      </c>
      <c r="F115" t="s">
        <v>108</v>
      </c>
      <c r="G115" t="s">
        <v>80</v>
      </c>
      <c r="H115" t="s">
        <v>128</v>
      </c>
      <c r="I115" t="s">
        <v>119</v>
      </c>
    </row>
    <row r="116" spans="1:9" x14ac:dyDescent="0.25">
      <c r="A116" t="s">
        <v>542</v>
      </c>
      <c r="B116" t="s">
        <v>42</v>
      </c>
      <c r="C116" t="s">
        <v>69</v>
      </c>
      <c r="D116" t="s">
        <v>31</v>
      </c>
      <c r="E116" t="s">
        <v>24</v>
      </c>
      <c r="F116" t="s">
        <v>99</v>
      </c>
      <c r="G116" t="s">
        <v>90</v>
      </c>
      <c r="H116" t="s">
        <v>108</v>
      </c>
      <c r="I116" t="s">
        <v>119</v>
      </c>
    </row>
    <row r="117" spans="1:9" x14ac:dyDescent="0.25">
      <c r="A117" t="s">
        <v>543</v>
      </c>
      <c r="B117" t="s">
        <v>42</v>
      </c>
      <c r="C117" t="s">
        <v>69</v>
      </c>
      <c r="D117" t="s">
        <v>31</v>
      </c>
      <c r="E117" t="s">
        <v>24</v>
      </c>
      <c r="F117" t="s">
        <v>99</v>
      </c>
      <c r="G117" t="s">
        <v>90</v>
      </c>
      <c r="H117" t="s">
        <v>128</v>
      </c>
      <c r="I117" t="s">
        <v>108</v>
      </c>
    </row>
    <row r="118" spans="1:9" x14ac:dyDescent="0.25">
      <c r="A118" t="s">
        <v>544</v>
      </c>
      <c r="B118" t="s">
        <v>42</v>
      </c>
      <c r="C118" t="s">
        <v>69</v>
      </c>
      <c r="D118" t="s">
        <v>31</v>
      </c>
      <c r="E118" t="s">
        <v>24</v>
      </c>
      <c r="F118" t="s">
        <v>99</v>
      </c>
      <c r="G118" t="s">
        <v>90</v>
      </c>
      <c r="H118" t="s">
        <v>128</v>
      </c>
      <c r="I118" t="s">
        <v>119</v>
      </c>
    </row>
    <row r="119" spans="1:9" x14ac:dyDescent="0.25">
      <c r="A119" t="s">
        <v>545</v>
      </c>
      <c r="B119" t="s">
        <v>42</v>
      </c>
      <c r="C119" t="s">
        <v>69</v>
      </c>
      <c r="D119" t="s">
        <v>31</v>
      </c>
      <c r="E119" t="s">
        <v>24</v>
      </c>
      <c r="F119" t="s">
        <v>108</v>
      </c>
      <c r="G119" t="s">
        <v>90</v>
      </c>
      <c r="H119" t="s">
        <v>128</v>
      </c>
      <c r="I119" t="s">
        <v>119</v>
      </c>
    </row>
    <row r="120" spans="1:9" x14ac:dyDescent="0.25">
      <c r="A120" t="s">
        <v>546</v>
      </c>
      <c r="B120" t="s">
        <v>42</v>
      </c>
      <c r="C120" t="s">
        <v>99</v>
      </c>
      <c r="D120" t="s">
        <v>31</v>
      </c>
      <c r="E120" t="s">
        <v>24</v>
      </c>
      <c r="F120" t="s">
        <v>108</v>
      </c>
      <c r="G120" t="s">
        <v>69</v>
      </c>
      <c r="H120" t="s">
        <v>128</v>
      </c>
      <c r="I120" t="s">
        <v>119</v>
      </c>
    </row>
    <row r="121" spans="1:9" x14ac:dyDescent="0.25">
      <c r="A121" t="s">
        <v>547</v>
      </c>
      <c r="B121" t="s">
        <v>42</v>
      </c>
      <c r="C121" t="s">
        <v>80</v>
      </c>
      <c r="D121" t="s">
        <v>31</v>
      </c>
      <c r="E121" t="s">
        <v>24</v>
      </c>
      <c r="F121" t="s">
        <v>99</v>
      </c>
      <c r="G121" t="s">
        <v>90</v>
      </c>
      <c r="H121" t="s">
        <v>108</v>
      </c>
      <c r="I121" t="s">
        <v>119</v>
      </c>
    </row>
    <row r="122" spans="1:9" x14ac:dyDescent="0.25">
      <c r="A122" t="s">
        <v>548</v>
      </c>
      <c r="B122" t="s">
        <v>42</v>
      </c>
      <c r="C122" t="s">
        <v>80</v>
      </c>
      <c r="D122" t="s">
        <v>31</v>
      </c>
      <c r="E122" t="s">
        <v>24</v>
      </c>
      <c r="F122" t="s">
        <v>99</v>
      </c>
      <c r="G122" t="s">
        <v>90</v>
      </c>
      <c r="H122" t="s">
        <v>128</v>
      </c>
      <c r="I122" t="s">
        <v>108</v>
      </c>
    </row>
    <row r="123" spans="1:9" x14ac:dyDescent="0.25">
      <c r="A123" t="s">
        <v>549</v>
      </c>
      <c r="B123" t="s">
        <v>42</v>
      </c>
      <c r="C123" t="s">
        <v>80</v>
      </c>
      <c r="D123" t="s">
        <v>31</v>
      </c>
      <c r="E123" t="s">
        <v>24</v>
      </c>
      <c r="F123" t="s">
        <v>99</v>
      </c>
      <c r="G123" t="s">
        <v>90</v>
      </c>
      <c r="H123" t="s">
        <v>128</v>
      </c>
      <c r="I123" t="s">
        <v>119</v>
      </c>
    </row>
    <row r="124" spans="1:9" x14ac:dyDescent="0.25">
      <c r="A124" t="s">
        <v>550</v>
      </c>
      <c r="B124" t="s">
        <v>42</v>
      </c>
      <c r="C124" t="s">
        <v>80</v>
      </c>
      <c r="D124" t="s">
        <v>31</v>
      </c>
      <c r="E124" t="s">
        <v>24</v>
      </c>
      <c r="F124" t="s">
        <v>108</v>
      </c>
      <c r="G124" t="s">
        <v>90</v>
      </c>
      <c r="H124" t="s">
        <v>128</v>
      </c>
      <c r="I124" t="s">
        <v>119</v>
      </c>
    </row>
    <row r="125" spans="1:9" x14ac:dyDescent="0.25">
      <c r="A125" t="s">
        <v>551</v>
      </c>
      <c r="B125" t="s">
        <v>42</v>
      </c>
      <c r="C125" t="s">
        <v>99</v>
      </c>
      <c r="D125" t="s">
        <v>31</v>
      </c>
      <c r="E125" t="s">
        <v>24</v>
      </c>
      <c r="F125" t="s">
        <v>108</v>
      </c>
      <c r="G125" t="s">
        <v>80</v>
      </c>
      <c r="H125" t="s">
        <v>128</v>
      </c>
      <c r="I125" t="s">
        <v>119</v>
      </c>
    </row>
    <row r="126" spans="1:9" x14ac:dyDescent="0.25">
      <c r="A126" t="s">
        <v>552</v>
      </c>
      <c r="B126" t="s">
        <v>42</v>
      </c>
      <c r="C126" t="s">
        <v>99</v>
      </c>
      <c r="D126" t="s">
        <v>31</v>
      </c>
      <c r="E126" t="s">
        <v>24</v>
      </c>
      <c r="F126" t="s">
        <v>108</v>
      </c>
      <c r="G126" t="s">
        <v>90</v>
      </c>
      <c r="H126" t="s">
        <v>128</v>
      </c>
      <c r="I126" t="s">
        <v>119</v>
      </c>
    </row>
    <row r="127" spans="1:9" x14ac:dyDescent="0.25">
      <c r="A127" t="s">
        <v>553</v>
      </c>
      <c r="B127" t="s">
        <v>60</v>
      </c>
      <c r="C127" t="s">
        <v>69</v>
      </c>
      <c r="D127" t="s">
        <v>31</v>
      </c>
      <c r="E127" t="s">
        <v>24</v>
      </c>
      <c r="F127" t="s">
        <v>90</v>
      </c>
      <c r="G127" t="s">
        <v>80</v>
      </c>
      <c r="H127" t="s">
        <v>51</v>
      </c>
      <c r="I127" t="s">
        <v>99</v>
      </c>
    </row>
    <row r="128" spans="1:9" x14ac:dyDescent="0.25">
      <c r="A128" t="s">
        <v>554</v>
      </c>
      <c r="B128" t="s">
        <v>60</v>
      </c>
      <c r="C128" t="s">
        <v>69</v>
      </c>
      <c r="D128" t="s">
        <v>31</v>
      </c>
      <c r="E128" t="s">
        <v>24</v>
      </c>
      <c r="F128" t="s">
        <v>90</v>
      </c>
      <c r="G128" t="s">
        <v>80</v>
      </c>
      <c r="H128" t="s">
        <v>51</v>
      </c>
      <c r="I128" t="s">
        <v>108</v>
      </c>
    </row>
    <row r="129" spans="1:9" x14ac:dyDescent="0.25">
      <c r="A129" t="s">
        <v>555</v>
      </c>
      <c r="B129" t="s">
        <v>60</v>
      </c>
      <c r="C129" t="s">
        <v>69</v>
      </c>
      <c r="D129" t="s">
        <v>31</v>
      </c>
      <c r="E129" t="s">
        <v>24</v>
      </c>
      <c r="F129" t="s">
        <v>90</v>
      </c>
      <c r="G129" t="s">
        <v>80</v>
      </c>
      <c r="H129" t="s">
        <v>51</v>
      </c>
      <c r="I129" t="s">
        <v>119</v>
      </c>
    </row>
    <row r="130" spans="1:9" x14ac:dyDescent="0.25">
      <c r="A130" t="s">
        <v>556</v>
      </c>
      <c r="B130" t="s">
        <v>60</v>
      </c>
      <c r="C130" t="s">
        <v>69</v>
      </c>
      <c r="D130" t="s">
        <v>31</v>
      </c>
      <c r="E130" t="s">
        <v>51</v>
      </c>
      <c r="F130" t="s">
        <v>24</v>
      </c>
      <c r="G130" t="s">
        <v>80</v>
      </c>
      <c r="H130" t="s">
        <v>128</v>
      </c>
      <c r="I130" t="s">
        <v>90</v>
      </c>
    </row>
    <row r="131" spans="1:9" x14ac:dyDescent="0.25">
      <c r="A131" t="s">
        <v>557</v>
      </c>
      <c r="B131" t="s">
        <v>60</v>
      </c>
      <c r="C131" t="s">
        <v>69</v>
      </c>
      <c r="D131" t="s">
        <v>31</v>
      </c>
      <c r="E131" t="s">
        <v>24</v>
      </c>
      <c r="F131" t="s">
        <v>99</v>
      </c>
      <c r="G131" t="s">
        <v>80</v>
      </c>
      <c r="H131" t="s">
        <v>51</v>
      </c>
      <c r="I131" t="s">
        <v>108</v>
      </c>
    </row>
    <row r="132" spans="1:9" x14ac:dyDescent="0.25">
      <c r="A132" t="s">
        <v>558</v>
      </c>
      <c r="B132" t="s">
        <v>60</v>
      </c>
      <c r="C132" t="s">
        <v>69</v>
      </c>
      <c r="D132" t="s">
        <v>31</v>
      </c>
      <c r="E132" t="s">
        <v>24</v>
      </c>
      <c r="F132" t="s">
        <v>99</v>
      </c>
      <c r="G132" t="s">
        <v>80</v>
      </c>
      <c r="H132" t="s">
        <v>51</v>
      </c>
      <c r="I132" t="s">
        <v>119</v>
      </c>
    </row>
    <row r="133" spans="1:9" x14ac:dyDescent="0.25">
      <c r="A133" t="s">
        <v>559</v>
      </c>
      <c r="B133" t="s">
        <v>60</v>
      </c>
      <c r="C133" t="s">
        <v>69</v>
      </c>
      <c r="D133" t="s">
        <v>31</v>
      </c>
      <c r="E133" t="s">
        <v>51</v>
      </c>
      <c r="F133" t="s">
        <v>24</v>
      </c>
      <c r="G133" t="s">
        <v>80</v>
      </c>
      <c r="H133" t="s">
        <v>128</v>
      </c>
      <c r="I133" t="s">
        <v>99</v>
      </c>
    </row>
    <row r="134" spans="1:9" x14ac:dyDescent="0.25">
      <c r="A134" t="s">
        <v>560</v>
      </c>
      <c r="B134" t="s">
        <v>60</v>
      </c>
      <c r="C134" t="s">
        <v>69</v>
      </c>
      <c r="D134" t="s">
        <v>31</v>
      </c>
      <c r="E134" t="s">
        <v>24</v>
      </c>
      <c r="F134" t="s">
        <v>108</v>
      </c>
      <c r="G134" t="s">
        <v>80</v>
      </c>
      <c r="H134" t="s">
        <v>51</v>
      </c>
      <c r="I134" t="s">
        <v>119</v>
      </c>
    </row>
    <row r="135" spans="1:9" x14ac:dyDescent="0.25">
      <c r="A135" t="s">
        <v>561</v>
      </c>
      <c r="B135" t="s">
        <v>60</v>
      </c>
      <c r="C135" t="s">
        <v>69</v>
      </c>
      <c r="D135" t="s">
        <v>31</v>
      </c>
      <c r="E135" t="s">
        <v>51</v>
      </c>
      <c r="F135" t="s">
        <v>24</v>
      </c>
      <c r="G135" t="s">
        <v>80</v>
      </c>
      <c r="H135" t="s">
        <v>128</v>
      </c>
      <c r="I135" t="s">
        <v>108</v>
      </c>
    </row>
    <row r="136" spans="1:9" x14ac:dyDescent="0.25">
      <c r="A136" t="s">
        <v>562</v>
      </c>
      <c r="B136" t="s">
        <v>60</v>
      </c>
      <c r="C136" t="s">
        <v>69</v>
      </c>
      <c r="D136" t="s">
        <v>31</v>
      </c>
      <c r="E136" t="s">
        <v>51</v>
      </c>
      <c r="F136" t="s">
        <v>24</v>
      </c>
      <c r="G136" t="s">
        <v>80</v>
      </c>
      <c r="H136" t="s">
        <v>128</v>
      </c>
      <c r="I136" t="s">
        <v>119</v>
      </c>
    </row>
    <row r="137" spans="1:9" x14ac:dyDescent="0.25">
      <c r="A137" t="s">
        <v>563</v>
      </c>
      <c r="B137" t="s">
        <v>60</v>
      </c>
      <c r="C137" t="s">
        <v>69</v>
      </c>
      <c r="D137" t="s">
        <v>31</v>
      </c>
      <c r="E137" t="s">
        <v>24</v>
      </c>
      <c r="F137" t="s">
        <v>90</v>
      </c>
      <c r="G137" t="s">
        <v>51</v>
      </c>
      <c r="H137" t="s">
        <v>99</v>
      </c>
      <c r="I137" t="s">
        <v>108</v>
      </c>
    </row>
    <row r="138" spans="1:9" x14ac:dyDescent="0.25">
      <c r="A138" t="s">
        <v>564</v>
      </c>
      <c r="B138" t="s">
        <v>60</v>
      </c>
      <c r="C138" t="s">
        <v>69</v>
      </c>
      <c r="D138" t="s">
        <v>31</v>
      </c>
      <c r="E138" t="s">
        <v>24</v>
      </c>
      <c r="F138" t="s">
        <v>90</v>
      </c>
      <c r="G138" t="s">
        <v>51</v>
      </c>
      <c r="H138" t="s">
        <v>99</v>
      </c>
      <c r="I138" t="s">
        <v>119</v>
      </c>
    </row>
    <row r="139" spans="1:9" x14ac:dyDescent="0.25">
      <c r="A139" t="s">
        <v>565</v>
      </c>
      <c r="B139" t="s">
        <v>60</v>
      </c>
      <c r="C139" t="s">
        <v>69</v>
      </c>
      <c r="D139" t="s">
        <v>31</v>
      </c>
      <c r="E139" t="s">
        <v>24</v>
      </c>
      <c r="F139" t="s">
        <v>90</v>
      </c>
      <c r="G139" t="s">
        <v>51</v>
      </c>
      <c r="H139" t="s">
        <v>128</v>
      </c>
      <c r="I139" t="s">
        <v>99</v>
      </c>
    </row>
    <row r="140" spans="1:9" x14ac:dyDescent="0.25">
      <c r="A140" t="s">
        <v>566</v>
      </c>
      <c r="B140" t="s">
        <v>60</v>
      </c>
      <c r="C140" t="s">
        <v>69</v>
      </c>
      <c r="D140" t="s">
        <v>31</v>
      </c>
      <c r="E140" t="s">
        <v>24</v>
      </c>
      <c r="F140" t="s">
        <v>90</v>
      </c>
      <c r="G140" t="s">
        <v>51</v>
      </c>
      <c r="H140" t="s">
        <v>108</v>
      </c>
      <c r="I140" t="s">
        <v>119</v>
      </c>
    </row>
    <row r="141" spans="1:9" x14ac:dyDescent="0.25">
      <c r="A141" t="s">
        <v>567</v>
      </c>
      <c r="B141" t="s">
        <v>60</v>
      </c>
      <c r="C141" t="s">
        <v>69</v>
      </c>
      <c r="D141" t="s">
        <v>31</v>
      </c>
      <c r="E141" t="s">
        <v>24</v>
      </c>
      <c r="F141" t="s">
        <v>90</v>
      </c>
      <c r="G141" t="s">
        <v>51</v>
      </c>
      <c r="H141" t="s">
        <v>128</v>
      </c>
      <c r="I141" t="s">
        <v>108</v>
      </c>
    </row>
    <row r="142" spans="1:9" x14ac:dyDescent="0.25">
      <c r="A142" t="s">
        <v>568</v>
      </c>
      <c r="B142" t="s">
        <v>60</v>
      </c>
      <c r="C142" t="s">
        <v>69</v>
      </c>
      <c r="D142" t="s">
        <v>31</v>
      </c>
      <c r="E142" t="s">
        <v>24</v>
      </c>
      <c r="F142" t="s">
        <v>90</v>
      </c>
      <c r="G142" t="s">
        <v>51</v>
      </c>
      <c r="H142" t="s">
        <v>128</v>
      </c>
      <c r="I142" t="s">
        <v>119</v>
      </c>
    </row>
    <row r="143" spans="1:9" x14ac:dyDescent="0.25">
      <c r="A143" t="s">
        <v>569</v>
      </c>
      <c r="B143" t="s">
        <v>60</v>
      </c>
      <c r="C143" t="s">
        <v>69</v>
      </c>
      <c r="D143" t="s">
        <v>31</v>
      </c>
      <c r="E143" t="s">
        <v>24</v>
      </c>
      <c r="F143" t="s">
        <v>99</v>
      </c>
      <c r="G143" t="s">
        <v>51</v>
      </c>
      <c r="H143" t="s">
        <v>108</v>
      </c>
      <c r="I143" t="s">
        <v>119</v>
      </c>
    </row>
    <row r="144" spans="1:9" x14ac:dyDescent="0.25">
      <c r="A144" t="s">
        <v>570</v>
      </c>
      <c r="B144" t="s">
        <v>60</v>
      </c>
      <c r="C144" t="s">
        <v>69</v>
      </c>
      <c r="D144" t="s">
        <v>31</v>
      </c>
      <c r="E144" t="s">
        <v>24</v>
      </c>
      <c r="F144" t="s">
        <v>99</v>
      </c>
      <c r="G144" t="s">
        <v>51</v>
      </c>
      <c r="H144" t="s">
        <v>128</v>
      </c>
      <c r="I144" t="s">
        <v>108</v>
      </c>
    </row>
    <row r="145" spans="1:9" x14ac:dyDescent="0.25">
      <c r="A145" t="s">
        <v>571</v>
      </c>
      <c r="B145" t="s">
        <v>60</v>
      </c>
      <c r="C145" t="s">
        <v>69</v>
      </c>
      <c r="D145" t="s">
        <v>31</v>
      </c>
      <c r="E145" t="s">
        <v>24</v>
      </c>
      <c r="F145" t="s">
        <v>99</v>
      </c>
      <c r="G145" t="s">
        <v>51</v>
      </c>
      <c r="H145" t="s">
        <v>128</v>
      </c>
      <c r="I145" t="s">
        <v>119</v>
      </c>
    </row>
    <row r="146" spans="1:9" x14ac:dyDescent="0.25">
      <c r="A146" t="s">
        <v>572</v>
      </c>
      <c r="B146" t="s">
        <v>60</v>
      </c>
      <c r="C146" t="s">
        <v>69</v>
      </c>
      <c r="D146" t="s">
        <v>31</v>
      </c>
      <c r="E146" t="s">
        <v>24</v>
      </c>
      <c r="F146" t="s">
        <v>108</v>
      </c>
      <c r="G146" t="s">
        <v>51</v>
      </c>
      <c r="H146" t="s">
        <v>128</v>
      </c>
      <c r="I146" t="s">
        <v>119</v>
      </c>
    </row>
    <row r="147" spans="1:9" x14ac:dyDescent="0.25">
      <c r="A147" t="s">
        <v>573</v>
      </c>
      <c r="B147" t="s">
        <v>60</v>
      </c>
      <c r="C147" t="s">
        <v>80</v>
      </c>
      <c r="D147" t="s">
        <v>31</v>
      </c>
      <c r="E147" t="s">
        <v>24</v>
      </c>
      <c r="F147" t="s">
        <v>90</v>
      </c>
      <c r="G147" t="s">
        <v>51</v>
      </c>
      <c r="H147" t="s">
        <v>99</v>
      </c>
      <c r="I147" t="s">
        <v>108</v>
      </c>
    </row>
    <row r="148" spans="1:9" x14ac:dyDescent="0.25">
      <c r="A148" t="s">
        <v>574</v>
      </c>
      <c r="B148" t="s">
        <v>60</v>
      </c>
      <c r="C148" t="s">
        <v>80</v>
      </c>
      <c r="D148" t="s">
        <v>31</v>
      </c>
      <c r="E148" t="s">
        <v>24</v>
      </c>
      <c r="F148" t="s">
        <v>90</v>
      </c>
      <c r="G148" t="s">
        <v>51</v>
      </c>
      <c r="H148" t="s">
        <v>99</v>
      </c>
      <c r="I148" t="s">
        <v>119</v>
      </c>
    </row>
    <row r="149" spans="1:9" x14ac:dyDescent="0.25">
      <c r="A149" t="s">
        <v>575</v>
      </c>
      <c r="B149" t="s">
        <v>60</v>
      </c>
      <c r="C149" t="s">
        <v>80</v>
      </c>
      <c r="D149" t="s">
        <v>31</v>
      </c>
      <c r="E149" t="s">
        <v>24</v>
      </c>
      <c r="F149" t="s">
        <v>90</v>
      </c>
      <c r="G149" t="s">
        <v>51</v>
      </c>
      <c r="H149" t="s">
        <v>128</v>
      </c>
      <c r="I149" t="s">
        <v>99</v>
      </c>
    </row>
    <row r="150" spans="1:9" x14ac:dyDescent="0.25">
      <c r="A150" t="s">
        <v>576</v>
      </c>
      <c r="B150" t="s">
        <v>60</v>
      </c>
      <c r="C150" t="s">
        <v>80</v>
      </c>
      <c r="D150" t="s">
        <v>31</v>
      </c>
      <c r="E150" t="s">
        <v>24</v>
      </c>
      <c r="F150" t="s">
        <v>90</v>
      </c>
      <c r="G150" t="s">
        <v>51</v>
      </c>
      <c r="H150" t="s">
        <v>108</v>
      </c>
      <c r="I150" t="s">
        <v>119</v>
      </c>
    </row>
    <row r="151" spans="1:9" x14ac:dyDescent="0.25">
      <c r="A151" t="s">
        <v>577</v>
      </c>
      <c r="B151" t="s">
        <v>60</v>
      </c>
      <c r="C151" t="s">
        <v>80</v>
      </c>
      <c r="D151" t="s">
        <v>31</v>
      </c>
      <c r="E151" t="s">
        <v>24</v>
      </c>
      <c r="F151" t="s">
        <v>90</v>
      </c>
      <c r="G151" t="s">
        <v>51</v>
      </c>
      <c r="H151" t="s">
        <v>128</v>
      </c>
      <c r="I151" t="s">
        <v>108</v>
      </c>
    </row>
    <row r="152" spans="1:9" x14ac:dyDescent="0.25">
      <c r="A152" t="s">
        <v>578</v>
      </c>
      <c r="B152" t="s">
        <v>60</v>
      </c>
      <c r="C152" t="s">
        <v>80</v>
      </c>
      <c r="D152" t="s">
        <v>31</v>
      </c>
      <c r="E152" t="s">
        <v>24</v>
      </c>
      <c r="F152" t="s">
        <v>90</v>
      </c>
      <c r="G152" t="s">
        <v>51</v>
      </c>
      <c r="H152" t="s">
        <v>128</v>
      </c>
      <c r="I152" t="s">
        <v>119</v>
      </c>
    </row>
    <row r="153" spans="1:9" x14ac:dyDescent="0.25">
      <c r="A153" t="s">
        <v>579</v>
      </c>
      <c r="B153" t="s">
        <v>60</v>
      </c>
      <c r="C153" t="s">
        <v>80</v>
      </c>
      <c r="D153" t="s">
        <v>31</v>
      </c>
      <c r="E153" t="s">
        <v>24</v>
      </c>
      <c r="F153" t="s">
        <v>99</v>
      </c>
      <c r="G153" t="s">
        <v>51</v>
      </c>
      <c r="H153" t="s">
        <v>108</v>
      </c>
      <c r="I153" t="s">
        <v>119</v>
      </c>
    </row>
    <row r="154" spans="1:9" x14ac:dyDescent="0.25">
      <c r="A154" t="s">
        <v>580</v>
      </c>
      <c r="B154" t="s">
        <v>60</v>
      </c>
      <c r="C154" t="s">
        <v>80</v>
      </c>
      <c r="D154" t="s">
        <v>31</v>
      </c>
      <c r="E154" t="s">
        <v>24</v>
      </c>
      <c r="F154" t="s">
        <v>99</v>
      </c>
      <c r="G154" t="s">
        <v>51</v>
      </c>
      <c r="H154" t="s">
        <v>128</v>
      </c>
      <c r="I154" t="s">
        <v>108</v>
      </c>
    </row>
    <row r="155" spans="1:9" x14ac:dyDescent="0.25">
      <c r="A155" t="s">
        <v>581</v>
      </c>
      <c r="B155" t="s">
        <v>60</v>
      </c>
      <c r="C155" t="s">
        <v>80</v>
      </c>
      <c r="D155" t="s">
        <v>31</v>
      </c>
      <c r="E155" t="s">
        <v>24</v>
      </c>
      <c r="F155" t="s">
        <v>99</v>
      </c>
      <c r="G155" t="s">
        <v>51</v>
      </c>
      <c r="H155" t="s">
        <v>128</v>
      </c>
      <c r="I155" t="s">
        <v>119</v>
      </c>
    </row>
    <row r="156" spans="1:9" x14ac:dyDescent="0.25">
      <c r="A156" t="s">
        <v>582</v>
      </c>
      <c r="B156" t="s">
        <v>60</v>
      </c>
      <c r="C156" t="s">
        <v>80</v>
      </c>
      <c r="D156" t="s">
        <v>31</v>
      </c>
      <c r="E156" t="s">
        <v>24</v>
      </c>
      <c r="F156" t="s">
        <v>108</v>
      </c>
      <c r="G156" t="s">
        <v>51</v>
      </c>
      <c r="H156" t="s">
        <v>128</v>
      </c>
      <c r="I156" t="s">
        <v>119</v>
      </c>
    </row>
    <row r="157" spans="1:9" x14ac:dyDescent="0.25">
      <c r="A157" t="s">
        <v>583</v>
      </c>
      <c r="B157" t="s">
        <v>60</v>
      </c>
      <c r="C157" t="s">
        <v>99</v>
      </c>
      <c r="D157" t="s">
        <v>31</v>
      </c>
      <c r="E157" t="s">
        <v>24</v>
      </c>
      <c r="F157" t="s">
        <v>90</v>
      </c>
      <c r="G157" t="s">
        <v>51</v>
      </c>
      <c r="H157" t="s">
        <v>108</v>
      </c>
      <c r="I157" t="s">
        <v>119</v>
      </c>
    </row>
    <row r="158" spans="1:9" x14ac:dyDescent="0.25">
      <c r="A158" t="s">
        <v>584</v>
      </c>
      <c r="B158" t="s">
        <v>60</v>
      </c>
      <c r="C158" t="s">
        <v>99</v>
      </c>
      <c r="D158" t="s">
        <v>31</v>
      </c>
      <c r="E158" t="s">
        <v>24</v>
      </c>
      <c r="F158" t="s">
        <v>90</v>
      </c>
      <c r="G158" t="s">
        <v>51</v>
      </c>
      <c r="H158" t="s">
        <v>128</v>
      </c>
      <c r="I158" t="s">
        <v>108</v>
      </c>
    </row>
    <row r="159" spans="1:9" x14ac:dyDescent="0.25">
      <c r="A159" t="s">
        <v>585</v>
      </c>
      <c r="B159" t="s">
        <v>60</v>
      </c>
      <c r="C159" t="s">
        <v>99</v>
      </c>
      <c r="D159" t="s">
        <v>31</v>
      </c>
      <c r="E159" t="s">
        <v>24</v>
      </c>
      <c r="F159" t="s">
        <v>90</v>
      </c>
      <c r="G159" t="s">
        <v>51</v>
      </c>
      <c r="H159" t="s">
        <v>128</v>
      </c>
      <c r="I159" t="s">
        <v>119</v>
      </c>
    </row>
    <row r="160" spans="1:9" x14ac:dyDescent="0.25">
      <c r="A160" t="s">
        <v>586</v>
      </c>
      <c r="B160" t="s">
        <v>60</v>
      </c>
      <c r="C160" t="s">
        <v>108</v>
      </c>
      <c r="D160" t="s">
        <v>31</v>
      </c>
      <c r="E160" t="s">
        <v>24</v>
      </c>
      <c r="F160" t="s">
        <v>90</v>
      </c>
      <c r="G160" t="s">
        <v>51</v>
      </c>
      <c r="H160" t="s">
        <v>128</v>
      </c>
      <c r="I160" t="s">
        <v>119</v>
      </c>
    </row>
    <row r="161" spans="1:9" x14ac:dyDescent="0.25">
      <c r="A161" t="s">
        <v>587</v>
      </c>
      <c r="B161" t="s">
        <v>60</v>
      </c>
      <c r="C161" t="s">
        <v>99</v>
      </c>
      <c r="D161" t="s">
        <v>31</v>
      </c>
      <c r="E161" t="s">
        <v>24</v>
      </c>
      <c r="F161" t="s">
        <v>108</v>
      </c>
      <c r="G161" t="s">
        <v>51</v>
      </c>
      <c r="H161" t="s">
        <v>128</v>
      </c>
      <c r="I161" t="s">
        <v>119</v>
      </c>
    </row>
    <row r="162" spans="1:9" x14ac:dyDescent="0.25">
      <c r="A162" t="s">
        <v>588</v>
      </c>
      <c r="B162" t="s">
        <v>69</v>
      </c>
      <c r="C162" t="s">
        <v>80</v>
      </c>
      <c r="D162" t="s">
        <v>31</v>
      </c>
      <c r="E162" t="s">
        <v>24</v>
      </c>
      <c r="F162" t="s">
        <v>90</v>
      </c>
      <c r="G162" t="s">
        <v>51</v>
      </c>
      <c r="H162" t="s">
        <v>99</v>
      </c>
      <c r="I162" t="s">
        <v>108</v>
      </c>
    </row>
    <row r="163" spans="1:9" x14ac:dyDescent="0.25">
      <c r="A163" t="s">
        <v>589</v>
      </c>
      <c r="B163" t="s">
        <v>69</v>
      </c>
      <c r="C163" t="s">
        <v>80</v>
      </c>
      <c r="D163" t="s">
        <v>31</v>
      </c>
      <c r="E163" t="s">
        <v>24</v>
      </c>
      <c r="F163" t="s">
        <v>90</v>
      </c>
      <c r="G163" t="s">
        <v>51</v>
      </c>
      <c r="H163" t="s">
        <v>99</v>
      </c>
      <c r="I163" t="s">
        <v>119</v>
      </c>
    </row>
    <row r="164" spans="1:9" x14ac:dyDescent="0.25">
      <c r="A164" t="s">
        <v>590</v>
      </c>
      <c r="B164" t="s">
        <v>69</v>
      </c>
      <c r="C164" t="s">
        <v>80</v>
      </c>
      <c r="D164" t="s">
        <v>31</v>
      </c>
      <c r="E164" t="s">
        <v>24</v>
      </c>
      <c r="F164" t="s">
        <v>90</v>
      </c>
      <c r="G164" t="s">
        <v>51</v>
      </c>
      <c r="H164" t="s">
        <v>128</v>
      </c>
      <c r="I164" t="s">
        <v>99</v>
      </c>
    </row>
    <row r="165" spans="1:9" x14ac:dyDescent="0.25">
      <c r="A165" t="s">
        <v>591</v>
      </c>
      <c r="B165" t="s">
        <v>69</v>
      </c>
      <c r="C165" t="s">
        <v>80</v>
      </c>
      <c r="D165" t="s">
        <v>31</v>
      </c>
      <c r="E165" t="s">
        <v>24</v>
      </c>
      <c r="F165" t="s">
        <v>90</v>
      </c>
      <c r="G165" t="s">
        <v>51</v>
      </c>
      <c r="H165" t="s">
        <v>108</v>
      </c>
      <c r="I165" t="s">
        <v>119</v>
      </c>
    </row>
    <row r="166" spans="1:9" x14ac:dyDescent="0.25">
      <c r="A166" t="s">
        <v>592</v>
      </c>
      <c r="B166" t="s">
        <v>69</v>
      </c>
      <c r="C166" t="s">
        <v>80</v>
      </c>
      <c r="D166" t="s">
        <v>31</v>
      </c>
      <c r="E166" t="s">
        <v>24</v>
      </c>
      <c r="F166" t="s">
        <v>90</v>
      </c>
      <c r="G166" t="s">
        <v>51</v>
      </c>
      <c r="H166" t="s">
        <v>128</v>
      </c>
      <c r="I166" t="s">
        <v>108</v>
      </c>
    </row>
    <row r="167" spans="1:9" x14ac:dyDescent="0.25">
      <c r="A167" t="s">
        <v>593</v>
      </c>
      <c r="B167" t="s">
        <v>69</v>
      </c>
      <c r="C167" t="s">
        <v>80</v>
      </c>
      <c r="D167" t="s">
        <v>31</v>
      </c>
      <c r="E167" t="s">
        <v>24</v>
      </c>
      <c r="F167" t="s">
        <v>90</v>
      </c>
      <c r="G167" t="s">
        <v>51</v>
      </c>
      <c r="H167" t="s">
        <v>128</v>
      </c>
      <c r="I167" t="s">
        <v>119</v>
      </c>
    </row>
    <row r="168" spans="1:9" x14ac:dyDescent="0.25">
      <c r="A168" t="s">
        <v>594</v>
      </c>
      <c r="B168" t="s">
        <v>69</v>
      </c>
      <c r="C168" t="s">
        <v>80</v>
      </c>
      <c r="D168" t="s">
        <v>31</v>
      </c>
      <c r="E168" t="s">
        <v>24</v>
      </c>
      <c r="F168" t="s">
        <v>99</v>
      </c>
      <c r="G168" t="s">
        <v>51</v>
      </c>
      <c r="H168" t="s">
        <v>108</v>
      </c>
      <c r="I168" t="s">
        <v>119</v>
      </c>
    </row>
    <row r="169" spans="1:9" x14ac:dyDescent="0.25">
      <c r="A169" t="s">
        <v>595</v>
      </c>
      <c r="B169" t="s">
        <v>69</v>
      </c>
      <c r="C169" t="s">
        <v>80</v>
      </c>
      <c r="D169" t="s">
        <v>31</v>
      </c>
      <c r="E169" t="s">
        <v>24</v>
      </c>
      <c r="F169" t="s">
        <v>99</v>
      </c>
      <c r="G169" t="s">
        <v>51</v>
      </c>
      <c r="H169" t="s">
        <v>128</v>
      </c>
      <c r="I169" t="s">
        <v>108</v>
      </c>
    </row>
    <row r="170" spans="1:9" x14ac:dyDescent="0.25">
      <c r="A170" t="s">
        <v>596</v>
      </c>
      <c r="B170" t="s">
        <v>69</v>
      </c>
      <c r="C170" t="s">
        <v>80</v>
      </c>
      <c r="D170" t="s">
        <v>31</v>
      </c>
      <c r="E170" t="s">
        <v>24</v>
      </c>
      <c r="F170" t="s">
        <v>99</v>
      </c>
      <c r="G170" t="s">
        <v>51</v>
      </c>
      <c r="H170" t="s">
        <v>128</v>
      </c>
      <c r="I170" t="s">
        <v>119</v>
      </c>
    </row>
    <row r="171" spans="1:9" x14ac:dyDescent="0.25">
      <c r="A171" t="s">
        <v>597</v>
      </c>
      <c r="B171" t="s">
        <v>69</v>
      </c>
      <c r="C171" t="s">
        <v>80</v>
      </c>
      <c r="D171" t="s">
        <v>31</v>
      </c>
      <c r="E171" t="s">
        <v>24</v>
      </c>
      <c r="F171" t="s">
        <v>108</v>
      </c>
      <c r="G171" t="s">
        <v>51</v>
      </c>
      <c r="H171" t="s">
        <v>128</v>
      </c>
      <c r="I171" t="s">
        <v>119</v>
      </c>
    </row>
    <row r="172" spans="1:9" x14ac:dyDescent="0.25">
      <c r="A172" t="s">
        <v>598</v>
      </c>
      <c r="B172" t="s">
        <v>69</v>
      </c>
      <c r="C172" t="s">
        <v>99</v>
      </c>
      <c r="D172" t="s">
        <v>31</v>
      </c>
      <c r="E172" t="s">
        <v>24</v>
      </c>
      <c r="F172" t="s">
        <v>90</v>
      </c>
      <c r="G172" t="s">
        <v>51</v>
      </c>
      <c r="H172" t="s">
        <v>108</v>
      </c>
      <c r="I172" t="s">
        <v>119</v>
      </c>
    </row>
    <row r="173" spans="1:9" x14ac:dyDescent="0.25">
      <c r="A173" t="s">
        <v>599</v>
      </c>
      <c r="B173" t="s">
        <v>69</v>
      </c>
      <c r="C173" t="s">
        <v>99</v>
      </c>
      <c r="D173" t="s">
        <v>31</v>
      </c>
      <c r="E173" t="s">
        <v>24</v>
      </c>
      <c r="F173" t="s">
        <v>90</v>
      </c>
      <c r="G173" t="s">
        <v>51</v>
      </c>
      <c r="H173" t="s">
        <v>128</v>
      </c>
      <c r="I173" t="s">
        <v>108</v>
      </c>
    </row>
    <row r="174" spans="1:9" x14ac:dyDescent="0.25">
      <c r="A174" t="s">
        <v>600</v>
      </c>
      <c r="B174" t="s">
        <v>69</v>
      </c>
      <c r="C174" t="s">
        <v>99</v>
      </c>
      <c r="D174" t="s">
        <v>31</v>
      </c>
      <c r="E174" t="s">
        <v>24</v>
      </c>
      <c r="F174" t="s">
        <v>90</v>
      </c>
      <c r="G174" t="s">
        <v>51</v>
      </c>
      <c r="H174" t="s">
        <v>128</v>
      </c>
      <c r="I174" t="s">
        <v>119</v>
      </c>
    </row>
    <row r="175" spans="1:9" x14ac:dyDescent="0.25">
      <c r="A175" t="s">
        <v>601</v>
      </c>
      <c r="B175" t="s">
        <v>69</v>
      </c>
      <c r="C175" t="s">
        <v>108</v>
      </c>
      <c r="D175" t="s">
        <v>31</v>
      </c>
      <c r="E175" t="s">
        <v>24</v>
      </c>
      <c r="F175" t="s">
        <v>90</v>
      </c>
      <c r="G175" t="s">
        <v>51</v>
      </c>
      <c r="H175" t="s">
        <v>128</v>
      </c>
      <c r="I175" t="s">
        <v>119</v>
      </c>
    </row>
    <row r="176" spans="1:9" x14ac:dyDescent="0.25">
      <c r="A176" t="s">
        <v>602</v>
      </c>
      <c r="B176" t="s">
        <v>69</v>
      </c>
      <c r="C176" t="s">
        <v>99</v>
      </c>
      <c r="D176" t="s">
        <v>31</v>
      </c>
      <c r="E176" t="s">
        <v>24</v>
      </c>
      <c r="F176" t="s">
        <v>108</v>
      </c>
      <c r="G176" t="s">
        <v>51</v>
      </c>
      <c r="H176" t="s">
        <v>128</v>
      </c>
      <c r="I176" t="s">
        <v>119</v>
      </c>
    </row>
    <row r="177" spans="1:9" x14ac:dyDescent="0.25">
      <c r="A177" t="s">
        <v>603</v>
      </c>
      <c r="B177" t="s">
        <v>90</v>
      </c>
      <c r="C177" t="s">
        <v>80</v>
      </c>
      <c r="D177" t="s">
        <v>31</v>
      </c>
      <c r="E177" t="s">
        <v>24</v>
      </c>
      <c r="F177" t="s">
        <v>99</v>
      </c>
      <c r="G177" t="s">
        <v>51</v>
      </c>
      <c r="H177" t="s">
        <v>108</v>
      </c>
      <c r="I177" t="s">
        <v>119</v>
      </c>
    </row>
    <row r="178" spans="1:9" x14ac:dyDescent="0.25">
      <c r="A178" t="s">
        <v>604</v>
      </c>
      <c r="B178" t="s">
        <v>90</v>
      </c>
      <c r="C178" t="s">
        <v>80</v>
      </c>
      <c r="D178" t="s">
        <v>31</v>
      </c>
      <c r="E178" t="s">
        <v>24</v>
      </c>
      <c r="F178" t="s">
        <v>99</v>
      </c>
      <c r="G178" t="s">
        <v>51</v>
      </c>
      <c r="H178" t="s">
        <v>128</v>
      </c>
      <c r="I178" t="s">
        <v>108</v>
      </c>
    </row>
    <row r="179" spans="1:9" x14ac:dyDescent="0.25">
      <c r="A179" t="s">
        <v>605</v>
      </c>
      <c r="B179" t="s">
        <v>90</v>
      </c>
      <c r="C179" t="s">
        <v>80</v>
      </c>
      <c r="D179" t="s">
        <v>31</v>
      </c>
      <c r="E179" t="s">
        <v>24</v>
      </c>
      <c r="F179" t="s">
        <v>99</v>
      </c>
      <c r="G179" t="s">
        <v>51</v>
      </c>
      <c r="H179" t="s">
        <v>128</v>
      </c>
      <c r="I179" t="s">
        <v>119</v>
      </c>
    </row>
    <row r="180" spans="1:9" x14ac:dyDescent="0.25">
      <c r="A180" t="s">
        <v>606</v>
      </c>
      <c r="B180" t="s">
        <v>90</v>
      </c>
      <c r="C180" t="s">
        <v>80</v>
      </c>
      <c r="D180" t="s">
        <v>31</v>
      </c>
      <c r="E180" t="s">
        <v>24</v>
      </c>
      <c r="F180" t="s">
        <v>108</v>
      </c>
      <c r="G180" t="s">
        <v>51</v>
      </c>
      <c r="H180" t="s">
        <v>128</v>
      </c>
      <c r="I180" t="s">
        <v>119</v>
      </c>
    </row>
    <row r="181" spans="1:9" x14ac:dyDescent="0.25">
      <c r="A181" t="s">
        <v>607</v>
      </c>
      <c r="B181" t="s">
        <v>99</v>
      </c>
      <c r="C181" t="s">
        <v>80</v>
      </c>
      <c r="D181" t="s">
        <v>31</v>
      </c>
      <c r="E181" t="s">
        <v>24</v>
      </c>
      <c r="F181" t="s">
        <v>108</v>
      </c>
      <c r="G181" t="s">
        <v>51</v>
      </c>
      <c r="H181" t="s">
        <v>128</v>
      </c>
      <c r="I181" t="s">
        <v>119</v>
      </c>
    </row>
    <row r="182" spans="1:9" x14ac:dyDescent="0.25">
      <c r="A182" t="s">
        <v>608</v>
      </c>
      <c r="B182" t="s">
        <v>90</v>
      </c>
      <c r="C182" t="s">
        <v>99</v>
      </c>
      <c r="D182" t="s">
        <v>31</v>
      </c>
      <c r="E182" t="s">
        <v>24</v>
      </c>
      <c r="F182" t="s">
        <v>108</v>
      </c>
      <c r="G182" t="s">
        <v>51</v>
      </c>
      <c r="H182" t="s">
        <v>128</v>
      </c>
      <c r="I182" t="s">
        <v>119</v>
      </c>
    </row>
    <row r="183" spans="1:9" x14ac:dyDescent="0.25">
      <c r="A183" t="s">
        <v>609</v>
      </c>
      <c r="B183" t="s">
        <v>60</v>
      </c>
      <c r="C183" t="s">
        <v>69</v>
      </c>
      <c r="D183" t="s">
        <v>31</v>
      </c>
      <c r="E183" t="s">
        <v>24</v>
      </c>
      <c r="F183" t="s">
        <v>90</v>
      </c>
      <c r="G183" t="s">
        <v>80</v>
      </c>
      <c r="H183" t="s">
        <v>99</v>
      </c>
      <c r="I183" t="s">
        <v>108</v>
      </c>
    </row>
    <row r="184" spans="1:9" x14ac:dyDescent="0.25">
      <c r="A184" t="s">
        <v>610</v>
      </c>
      <c r="B184" t="s">
        <v>60</v>
      </c>
      <c r="C184" t="s">
        <v>69</v>
      </c>
      <c r="D184" t="s">
        <v>31</v>
      </c>
      <c r="E184" t="s">
        <v>24</v>
      </c>
      <c r="F184" t="s">
        <v>90</v>
      </c>
      <c r="G184" t="s">
        <v>80</v>
      </c>
      <c r="H184" t="s">
        <v>99</v>
      </c>
      <c r="I184" t="s">
        <v>119</v>
      </c>
    </row>
    <row r="185" spans="1:9" x14ac:dyDescent="0.25">
      <c r="A185" t="s">
        <v>611</v>
      </c>
      <c r="B185" t="s">
        <v>60</v>
      </c>
      <c r="C185" t="s">
        <v>69</v>
      </c>
      <c r="D185" t="s">
        <v>31</v>
      </c>
      <c r="E185" t="s">
        <v>24</v>
      </c>
      <c r="F185" t="s">
        <v>90</v>
      </c>
      <c r="G185" t="s">
        <v>80</v>
      </c>
      <c r="H185" t="s">
        <v>128</v>
      </c>
      <c r="I185" t="s">
        <v>99</v>
      </c>
    </row>
    <row r="186" spans="1:9" x14ac:dyDescent="0.25">
      <c r="A186" t="s">
        <v>612</v>
      </c>
      <c r="B186" t="s">
        <v>60</v>
      </c>
      <c r="C186" t="s">
        <v>69</v>
      </c>
      <c r="D186" t="s">
        <v>31</v>
      </c>
      <c r="E186" t="s">
        <v>24</v>
      </c>
      <c r="F186" t="s">
        <v>90</v>
      </c>
      <c r="G186" t="s">
        <v>80</v>
      </c>
      <c r="H186" t="s">
        <v>108</v>
      </c>
      <c r="I186" t="s">
        <v>119</v>
      </c>
    </row>
    <row r="187" spans="1:9" x14ac:dyDescent="0.25">
      <c r="A187" t="s">
        <v>613</v>
      </c>
      <c r="B187" t="s">
        <v>60</v>
      </c>
      <c r="C187" t="s">
        <v>69</v>
      </c>
      <c r="D187" t="s">
        <v>31</v>
      </c>
      <c r="E187" t="s">
        <v>24</v>
      </c>
      <c r="F187" t="s">
        <v>90</v>
      </c>
      <c r="G187" t="s">
        <v>80</v>
      </c>
      <c r="H187" t="s">
        <v>128</v>
      </c>
      <c r="I187" t="s">
        <v>108</v>
      </c>
    </row>
    <row r="188" spans="1:9" x14ac:dyDescent="0.25">
      <c r="A188" t="s">
        <v>614</v>
      </c>
      <c r="B188" t="s">
        <v>60</v>
      </c>
      <c r="C188" t="s">
        <v>69</v>
      </c>
      <c r="D188" t="s">
        <v>31</v>
      </c>
      <c r="E188" t="s">
        <v>24</v>
      </c>
      <c r="F188" t="s">
        <v>90</v>
      </c>
      <c r="G188" t="s">
        <v>80</v>
      </c>
      <c r="H188" t="s">
        <v>128</v>
      </c>
      <c r="I188" t="s">
        <v>119</v>
      </c>
    </row>
    <row r="189" spans="1:9" x14ac:dyDescent="0.25">
      <c r="A189" t="s">
        <v>615</v>
      </c>
      <c r="B189" t="s">
        <v>60</v>
      </c>
      <c r="C189" t="s">
        <v>69</v>
      </c>
      <c r="D189" t="s">
        <v>31</v>
      </c>
      <c r="E189" t="s">
        <v>24</v>
      </c>
      <c r="F189" t="s">
        <v>99</v>
      </c>
      <c r="G189" t="s">
        <v>80</v>
      </c>
      <c r="H189" t="s">
        <v>108</v>
      </c>
      <c r="I189" t="s">
        <v>119</v>
      </c>
    </row>
    <row r="190" spans="1:9" x14ac:dyDescent="0.25">
      <c r="A190" t="s">
        <v>616</v>
      </c>
      <c r="B190" t="s">
        <v>60</v>
      </c>
      <c r="C190" t="s">
        <v>69</v>
      </c>
      <c r="D190" t="s">
        <v>31</v>
      </c>
      <c r="E190" t="s">
        <v>24</v>
      </c>
      <c r="F190" t="s">
        <v>99</v>
      </c>
      <c r="G190" t="s">
        <v>80</v>
      </c>
      <c r="H190" t="s">
        <v>128</v>
      </c>
      <c r="I190" t="s">
        <v>108</v>
      </c>
    </row>
    <row r="191" spans="1:9" x14ac:dyDescent="0.25">
      <c r="A191" t="s">
        <v>617</v>
      </c>
      <c r="B191" t="s">
        <v>60</v>
      </c>
      <c r="C191" t="s">
        <v>69</v>
      </c>
      <c r="D191" t="s">
        <v>31</v>
      </c>
      <c r="E191" t="s">
        <v>24</v>
      </c>
      <c r="F191" t="s">
        <v>99</v>
      </c>
      <c r="G191" t="s">
        <v>80</v>
      </c>
      <c r="H191" t="s">
        <v>128</v>
      </c>
      <c r="I191" t="s">
        <v>119</v>
      </c>
    </row>
    <row r="192" spans="1:9" x14ac:dyDescent="0.25">
      <c r="A192" t="s">
        <v>618</v>
      </c>
      <c r="B192" t="s">
        <v>60</v>
      </c>
      <c r="C192" t="s">
        <v>69</v>
      </c>
      <c r="D192" t="s">
        <v>31</v>
      </c>
      <c r="E192" t="s">
        <v>24</v>
      </c>
      <c r="F192" t="s">
        <v>108</v>
      </c>
      <c r="G192" t="s">
        <v>80</v>
      </c>
      <c r="H192" t="s">
        <v>128</v>
      </c>
      <c r="I192" t="s">
        <v>119</v>
      </c>
    </row>
    <row r="193" spans="1:9" x14ac:dyDescent="0.25">
      <c r="A193" t="s">
        <v>619</v>
      </c>
      <c r="B193" t="s">
        <v>60</v>
      </c>
      <c r="C193" t="s">
        <v>69</v>
      </c>
      <c r="D193" t="s">
        <v>31</v>
      </c>
      <c r="E193" t="s">
        <v>24</v>
      </c>
      <c r="F193" t="s">
        <v>99</v>
      </c>
      <c r="G193" t="s">
        <v>90</v>
      </c>
      <c r="H193" t="s">
        <v>108</v>
      </c>
      <c r="I193" t="s">
        <v>119</v>
      </c>
    </row>
    <row r="194" spans="1:9" x14ac:dyDescent="0.25">
      <c r="A194" t="s">
        <v>620</v>
      </c>
      <c r="B194" t="s">
        <v>60</v>
      </c>
      <c r="C194" t="s">
        <v>69</v>
      </c>
      <c r="D194" t="s">
        <v>31</v>
      </c>
      <c r="E194" t="s">
        <v>24</v>
      </c>
      <c r="F194" t="s">
        <v>99</v>
      </c>
      <c r="G194" t="s">
        <v>90</v>
      </c>
      <c r="H194" t="s">
        <v>128</v>
      </c>
      <c r="I194" t="s">
        <v>108</v>
      </c>
    </row>
    <row r="195" spans="1:9" x14ac:dyDescent="0.25">
      <c r="A195" t="s">
        <v>621</v>
      </c>
      <c r="B195" t="s">
        <v>60</v>
      </c>
      <c r="C195" t="s">
        <v>69</v>
      </c>
      <c r="D195" t="s">
        <v>31</v>
      </c>
      <c r="E195" t="s">
        <v>24</v>
      </c>
      <c r="F195" t="s">
        <v>99</v>
      </c>
      <c r="G195" t="s">
        <v>90</v>
      </c>
      <c r="H195" t="s">
        <v>128</v>
      </c>
      <c r="I195" t="s">
        <v>119</v>
      </c>
    </row>
    <row r="196" spans="1:9" x14ac:dyDescent="0.25">
      <c r="A196" t="s">
        <v>622</v>
      </c>
      <c r="B196" t="s">
        <v>60</v>
      </c>
      <c r="C196" t="s">
        <v>69</v>
      </c>
      <c r="D196" t="s">
        <v>31</v>
      </c>
      <c r="E196" t="s">
        <v>24</v>
      </c>
      <c r="F196" t="s">
        <v>108</v>
      </c>
      <c r="G196" t="s">
        <v>90</v>
      </c>
      <c r="H196" t="s">
        <v>128</v>
      </c>
      <c r="I196" t="s">
        <v>119</v>
      </c>
    </row>
    <row r="197" spans="1:9" x14ac:dyDescent="0.25">
      <c r="A197" t="s">
        <v>623</v>
      </c>
      <c r="B197" t="s">
        <v>60</v>
      </c>
      <c r="C197" t="s">
        <v>99</v>
      </c>
      <c r="D197" t="s">
        <v>31</v>
      </c>
      <c r="E197" t="s">
        <v>24</v>
      </c>
      <c r="F197" t="s">
        <v>108</v>
      </c>
      <c r="G197" t="s">
        <v>69</v>
      </c>
      <c r="H197" t="s">
        <v>128</v>
      </c>
      <c r="I197" t="s">
        <v>119</v>
      </c>
    </row>
    <row r="198" spans="1:9" x14ac:dyDescent="0.25">
      <c r="A198" t="s">
        <v>624</v>
      </c>
      <c r="B198" t="s">
        <v>60</v>
      </c>
      <c r="C198" t="s">
        <v>80</v>
      </c>
      <c r="D198" t="s">
        <v>31</v>
      </c>
      <c r="E198" t="s">
        <v>24</v>
      </c>
      <c r="F198" t="s">
        <v>99</v>
      </c>
      <c r="G198" t="s">
        <v>90</v>
      </c>
      <c r="H198" t="s">
        <v>108</v>
      </c>
      <c r="I198" t="s">
        <v>119</v>
      </c>
    </row>
    <row r="199" spans="1:9" x14ac:dyDescent="0.25">
      <c r="A199" t="s">
        <v>625</v>
      </c>
      <c r="B199" t="s">
        <v>60</v>
      </c>
      <c r="C199" t="s">
        <v>80</v>
      </c>
      <c r="D199" t="s">
        <v>31</v>
      </c>
      <c r="E199" t="s">
        <v>24</v>
      </c>
      <c r="F199" t="s">
        <v>99</v>
      </c>
      <c r="G199" t="s">
        <v>90</v>
      </c>
      <c r="H199" t="s">
        <v>128</v>
      </c>
      <c r="I199" t="s">
        <v>108</v>
      </c>
    </row>
    <row r="200" spans="1:9" x14ac:dyDescent="0.25">
      <c r="A200" t="s">
        <v>626</v>
      </c>
      <c r="B200" t="s">
        <v>60</v>
      </c>
      <c r="C200" t="s">
        <v>80</v>
      </c>
      <c r="D200" t="s">
        <v>31</v>
      </c>
      <c r="E200" t="s">
        <v>24</v>
      </c>
      <c r="F200" t="s">
        <v>99</v>
      </c>
      <c r="G200" t="s">
        <v>90</v>
      </c>
      <c r="H200" t="s">
        <v>128</v>
      </c>
      <c r="I200" t="s">
        <v>119</v>
      </c>
    </row>
    <row r="201" spans="1:9" x14ac:dyDescent="0.25">
      <c r="A201" t="s">
        <v>627</v>
      </c>
      <c r="B201" t="s">
        <v>60</v>
      </c>
      <c r="C201" t="s">
        <v>80</v>
      </c>
      <c r="D201" t="s">
        <v>31</v>
      </c>
      <c r="E201" t="s">
        <v>24</v>
      </c>
      <c r="F201" t="s">
        <v>108</v>
      </c>
      <c r="G201" t="s">
        <v>90</v>
      </c>
      <c r="H201" t="s">
        <v>128</v>
      </c>
      <c r="I201" t="s">
        <v>119</v>
      </c>
    </row>
    <row r="202" spans="1:9" x14ac:dyDescent="0.25">
      <c r="A202" t="s">
        <v>628</v>
      </c>
      <c r="B202" t="s">
        <v>60</v>
      </c>
      <c r="C202" t="s">
        <v>99</v>
      </c>
      <c r="D202" t="s">
        <v>31</v>
      </c>
      <c r="E202" t="s">
        <v>24</v>
      </c>
      <c r="F202" t="s">
        <v>108</v>
      </c>
      <c r="G202" t="s">
        <v>80</v>
      </c>
      <c r="H202" t="s">
        <v>128</v>
      </c>
      <c r="I202" t="s">
        <v>119</v>
      </c>
    </row>
    <row r="203" spans="1:9" x14ac:dyDescent="0.25">
      <c r="A203" t="s">
        <v>629</v>
      </c>
      <c r="B203" t="s">
        <v>60</v>
      </c>
      <c r="C203" t="s">
        <v>99</v>
      </c>
      <c r="D203" t="s">
        <v>31</v>
      </c>
      <c r="E203" t="s">
        <v>24</v>
      </c>
      <c r="F203" t="s">
        <v>108</v>
      </c>
      <c r="G203" t="s">
        <v>90</v>
      </c>
      <c r="H203" t="s">
        <v>128</v>
      </c>
      <c r="I203" t="s">
        <v>119</v>
      </c>
    </row>
    <row r="204" spans="1:9" x14ac:dyDescent="0.25">
      <c r="A204" t="s">
        <v>630</v>
      </c>
      <c r="B204" t="s">
        <v>69</v>
      </c>
      <c r="C204" t="s">
        <v>80</v>
      </c>
      <c r="D204" t="s">
        <v>31</v>
      </c>
      <c r="E204" t="s">
        <v>24</v>
      </c>
      <c r="F204" t="s">
        <v>99</v>
      </c>
      <c r="G204" t="s">
        <v>90</v>
      </c>
      <c r="H204" t="s">
        <v>108</v>
      </c>
      <c r="I204" t="s">
        <v>119</v>
      </c>
    </row>
    <row r="205" spans="1:9" x14ac:dyDescent="0.25">
      <c r="A205" t="s">
        <v>631</v>
      </c>
      <c r="B205" t="s">
        <v>69</v>
      </c>
      <c r="C205" t="s">
        <v>80</v>
      </c>
      <c r="D205" t="s">
        <v>31</v>
      </c>
      <c r="E205" t="s">
        <v>24</v>
      </c>
      <c r="F205" t="s">
        <v>99</v>
      </c>
      <c r="G205" t="s">
        <v>90</v>
      </c>
      <c r="H205" t="s">
        <v>128</v>
      </c>
      <c r="I205" t="s">
        <v>108</v>
      </c>
    </row>
    <row r="206" spans="1:9" x14ac:dyDescent="0.25">
      <c r="A206" t="s">
        <v>632</v>
      </c>
      <c r="B206" t="s">
        <v>69</v>
      </c>
      <c r="C206" t="s">
        <v>80</v>
      </c>
      <c r="D206" t="s">
        <v>31</v>
      </c>
      <c r="E206" t="s">
        <v>24</v>
      </c>
      <c r="F206" t="s">
        <v>99</v>
      </c>
      <c r="G206" t="s">
        <v>90</v>
      </c>
      <c r="H206" t="s">
        <v>128</v>
      </c>
      <c r="I206" t="s">
        <v>119</v>
      </c>
    </row>
    <row r="207" spans="1:9" x14ac:dyDescent="0.25">
      <c r="A207" t="s">
        <v>633</v>
      </c>
      <c r="B207" t="s">
        <v>69</v>
      </c>
      <c r="C207" t="s">
        <v>80</v>
      </c>
      <c r="D207" t="s">
        <v>31</v>
      </c>
      <c r="E207" t="s">
        <v>24</v>
      </c>
      <c r="F207" t="s">
        <v>108</v>
      </c>
      <c r="G207" t="s">
        <v>90</v>
      </c>
      <c r="H207" t="s">
        <v>128</v>
      </c>
      <c r="I207" t="s">
        <v>119</v>
      </c>
    </row>
    <row r="208" spans="1:9" x14ac:dyDescent="0.25">
      <c r="A208" t="s">
        <v>634</v>
      </c>
      <c r="B208" t="s">
        <v>69</v>
      </c>
      <c r="C208" t="s">
        <v>99</v>
      </c>
      <c r="D208" t="s">
        <v>31</v>
      </c>
      <c r="E208" t="s">
        <v>24</v>
      </c>
      <c r="F208" t="s">
        <v>108</v>
      </c>
      <c r="G208" t="s">
        <v>80</v>
      </c>
      <c r="H208" t="s">
        <v>128</v>
      </c>
      <c r="I208" t="s">
        <v>119</v>
      </c>
    </row>
    <row r="209" spans="1:9" x14ac:dyDescent="0.25">
      <c r="A209" t="s">
        <v>635</v>
      </c>
      <c r="B209" t="s">
        <v>69</v>
      </c>
      <c r="C209" t="s">
        <v>99</v>
      </c>
      <c r="D209" t="s">
        <v>31</v>
      </c>
      <c r="E209" t="s">
        <v>24</v>
      </c>
      <c r="F209" t="s">
        <v>108</v>
      </c>
      <c r="G209" t="s">
        <v>90</v>
      </c>
      <c r="H209" t="s">
        <v>128</v>
      </c>
      <c r="I209" t="s">
        <v>119</v>
      </c>
    </row>
    <row r="210" spans="1:9" x14ac:dyDescent="0.25">
      <c r="A210" t="s">
        <v>636</v>
      </c>
      <c r="B210" t="s">
        <v>90</v>
      </c>
      <c r="C210" t="s">
        <v>99</v>
      </c>
      <c r="D210" t="s">
        <v>31</v>
      </c>
      <c r="E210" t="s">
        <v>24</v>
      </c>
      <c r="F210" t="s">
        <v>108</v>
      </c>
      <c r="G210" t="s">
        <v>80</v>
      </c>
      <c r="H210" t="s">
        <v>128</v>
      </c>
      <c r="I210" t="s">
        <v>119</v>
      </c>
    </row>
    <row r="211" spans="1:9" x14ac:dyDescent="0.25">
      <c r="A211" t="s">
        <v>637</v>
      </c>
      <c r="B211" t="s">
        <v>42</v>
      </c>
      <c r="C211" t="s">
        <v>60</v>
      </c>
      <c r="D211" t="s">
        <v>69</v>
      </c>
      <c r="E211" t="s">
        <v>24</v>
      </c>
      <c r="F211" t="s">
        <v>90</v>
      </c>
      <c r="G211" t="s">
        <v>80</v>
      </c>
      <c r="H211" t="s">
        <v>51</v>
      </c>
      <c r="I211" t="s">
        <v>99</v>
      </c>
    </row>
    <row r="212" spans="1:9" x14ac:dyDescent="0.25">
      <c r="A212" t="s">
        <v>638</v>
      </c>
      <c r="B212" t="s">
        <v>42</v>
      </c>
      <c r="C212" t="s">
        <v>60</v>
      </c>
      <c r="D212" t="s">
        <v>69</v>
      </c>
      <c r="E212" t="s">
        <v>24</v>
      </c>
      <c r="F212" t="s">
        <v>90</v>
      </c>
      <c r="G212" t="s">
        <v>80</v>
      </c>
      <c r="H212" t="s">
        <v>51</v>
      </c>
      <c r="I212" t="s">
        <v>108</v>
      </c>
    </row>
    <row r="213" spans="1:9" x14ac:dyDescent="0.25">
      <c r="A213" t="s">
        <v>639</v>
      </c>
      <c r="B213" t="s">
        <v>42</v>
      </c>
      <c r="C213" t="s">
        <v>60</v>
      </c>
      <c r="D213" t="s">
        <v>69</v>
      </c>
      <c r="E213" t="s">
        <v>24</v>
      </c>
      <c r="F213" t="s">
        <v>90</v>
      </c>
      <c r="G213" t="s">
        <v>80</v>
      </c>
      <c r="H213" t="s">
        <v>51</v>
      </c>
      <c r="I213" t="s">
        <v>119</v>
      </c>
    </row>
    <row r="214" spans="1:9" x14ac:dyDescent="0.25">
      <c r="A214" t="s">
        <v>640</v>
      </c>
      <c r="B214" t="s">
        <v>42</v>
      </c>
      <c r="C214" t="s">
        <v>60</v>
      </c>
      <c r="D214" t="s">
        <v>69</v>
      </c>
      <c r="E214" t="s">
        <v>51</v>
      </c>
      <c r="F214" t="s">
        <v>24</v>
      </c>
      <c r="G214" t="s">
        <v>80</v>
      </c>
      <c r="H214" t="s">
        <v>128</v>
      </c>
      <c r="I214" t="s">
        <v>90</v>
      </c>
    </row>
    <row r="215" spans="1:9" x14ac:dyDescent="0.25">
      <c r="A215" t="s">
        <v>641</v>
      </c>
      <c r="B215" t="s">
        <v>42</v>
      </c>
      <c r="C215" t="s">
        <v>60</v>
      </c>
      <c r="D215" t="s">
        <v>69</v>
      </c>
      <c r="E215" t="s">
        <v>24</v>
      </c>
      <c r="F215" t="s">
        <v>99</v>
      </c>
      <c r="G215" t="s">
        <v>80</v>
      </c>
      <c r="H215" t="s">
        <v>51</v>
      </c>
      <c r="I215" t="s">
        <v>108</v>
      </c>
    </row>
    <row r="216" spans="1:9" x14ac:dyDescent="0.25">
      <c r="A216" t="s">
        <v>642</v>
      </c>
      <c r="B216" t="s">
        <v>42</v>
      </c>
      <c r="C216" t="s">
        <v>60</v>
      </c>
      <c r="D216" t="s">
        <v>69</v>
      </c>
      <c r="E216" t="s">
        <v>24</v>
      </c>
      <c r="F216" t="s">
        <v>99</v>
      </c>
      <c r="G216" t="s">
        <v>80</v>
      </c>
      <c r="H216" t="s">
        <v>51</v>
      </c>
      <c r="I216" t="s">
        <v>119</v>
      </c>
    </row>
    <row r="217" spans="1:9" x14ac:dyDescent="0.25">
      <c r="A217" t="s">
        <v>643</v>
      </c>
      <c r="B217" t="s">
        <v>42</v>
      </c>
      <c r="C217" t="s">
        <v>60</v>
      </c>
      <c r="D217" t="s">
        <v>69</v>
      </c>
      <c r="E217" t="s">
        <v>51</v>
      </c>
      <c r="F217" t="s">
        <v>24</v>
      </c>
      <c r="G217" t="s">
        <v>80</v>
      </c>
      <c r="H217" t="s">
        <v>128</v>
      </c>
      <c r="I217" t="s">
        <v>99</v>
      </c>
    </row>
    <row r="218" spans="1:9" x14ac:dyDescent="0.25">
      <c r="A218" t="s">
        <v>644</v>
      </c>
      <c r="B218" t="s">
        <v>42</v>
      </c>
      <c r="C218" t="s">
        <v>60</v>
      </c>
      <c r="D218" t="s">
        <v>69</v>
      </c>
      <c r="E218" t="s">
        <v>24</v>
      </c>
      <c r="F218" t="s">
        <v>108</v>
      </c>
      <c r="G218" t="s">
        <v>80</v>
      </c>
      <c r="H218" t="s">
        <v>51</v>
      </c>
      <c r="I218" t="s">
        <v>119</v>
      </c>
    </row>
    <row r="219" spans="1:9" x14ac:dyDescent="0.25">
      <c r="A219" t="s">
        <v>645</v>
      </c>
      <c r="B219" t="s">
        <v>42</v>
      </c>
      <c r="C219" t="s">
        <v>60</v>
      </c>
      <c r="D219" t="s">
        <v>69</v>
      </c>
      <c r="E219" t="s">
        <v>51</v>
      </c>
      <c r="F219" t="s">
        <v>24</v>
      </c>
      <c r="G219" t="s">
        <v>80</v>
      </c>
      <c r="H219" t="s">
        <v>128</v>
      </c>
      <c r="I219" t="s">
        <v>108</v>
      </c>
    </row>
    <row r="220" spans="1:9" x14ac:dyDescent="0.25">
      <c r="A220" t="s">
        <v>646</v>
      </c>
      <c r="B220" t="s">
        <v>42</v>
      </c>
      <c r="C220" t="s">
        <v>60</v>
      </c>
      <c r="D220" t="s">
        <v>69</v>
      </c>
      <c r="E220" t="s">
        <v>51</v>
      </c>
      <c r="F220" t="s">
        <v>24</v>
      </c>
      <c r="G220" t="s">
        <v>80</v>
      </c>
      <c r="H220" t="s">
        <v>128</v>
      </c>
      <c r="I220" t="s">
        <v>119</v>
      </c>
    </row>
    <row r="221" spans="1:9" x14ac:dyDescent="0.25">
      <c r="A221" t="s">
        <v>647</v>
      </c>
      <c r="B221" t="s">
        <v>42</v>
      </c>
      <c r="C221" t="s">
        <v>60</v>
      </c>
      <c r="D221" t="s">
        <v>69</v>
      </c>
      <c r="E221" t="s">
        <v>24</v>
      </c>
      <c r="F221" t="s">
        <v>90</v>
      </c>
      <c r="G221" t="s">
        <v>51</v>
      </c>
      <c r="H221" t="s">
        <v>99</v>
      </c>
      <c r="I221" t="s">
        <v>108</v>
      </c>
    </row>
    <row r="222" spans="1:9" x14ac:dyDescent="0.25">
      <c r="A222" t="s">
        <v>648</v>
      </c>
      <c r="B222" t="s">
        <v>42</v>
      </c>
      <c r="C222" t="s">
        <v>60</v>
      </c>
      <c r="D222" t="s">
        <v>69</v>
      </c>
      <c r="E222" t="s">
        <v>24</v>
      </c>
      <c r="F222" t="s">
        <v>90</v>
      </c>
      <c r="G222" t="s">
        <v>51</v>
      </c>
      <c r="H222" t="s">
        <v>99</v>
      </c>
      <c r="I222" t="s">
        <v>119</v>
      </c>
    </row>
    <row r="223" spans="1:9" x14ac:dyDescent="0.25">
      <c r="A223" t="s">
        <v>649</v>
      </c>
      <c r="B223" t="s">
        <v>42</v>
      </c>
      <c r="C223" t="s">
        <v>60</v>
      </c>
      <c r="D223" t="s">
        <v>69</v>
      </c>
      <c r="E223" t="s">
        <v>24</v>
      </c>
      <c r="F223" t="s">
        <v>90</v>
      </c>
      <c r="G223" t="s">
        <v>51</v>
      </c>
      <c r="H223" t="s">
        <v>128</v>
      </c>
      <c r="I223" t="s">
        <v>99</v>
      </c>
    </row>
    <row r="224" spans="1:9" x14ac:dyDescent="0.25">
      <c r="A224" t="s">
        <v>650</v>
      </c>
      <c r="B224" t="s">
        <v>42</v>
      </c>
      <c r="C224" t="s">
        <v>60</v>
      </c>
      <c r="D224" t="s">
        <v>69</v>
      </c>
      <c r="E224" t="s">
        <v>24</v>
      </c>
      <c r="F224" t="s">
        <v>90</v>
      </c>
      <c r="G224" t="s">
        <v>51</v>
      </c>
      <c r="H224" t="s">
        <v>108</v>
      </c>
      <c r="I224" t="s">
        <v>119</v>
      </c>
    </row>
    <row r="225" spans="1:9" x14ac:dyDescent="0.25">
      <c r="A225" t="s">
        <v>651</v>
      </c>
      <c r="B225" t="s">
        <v>42</v>
      </c>
      <c r="C225" t="s">
        <v>60</v>
      </c>
      <c r="D225" t="s">
        <v>69</v>
      </c>
      <c r="E225" t="s">
        <v>24</v>
      </c>
      <c r="F225" t="s">
        <v>90</v>
      </c>
      <c r="G225" t="s">
        <v>51</v>
      </c>
      <c r="H225" t="s">
        <v>128</v>
      </c>
      <c r="I225" t="s">
        <v>108</v>
      </c>
    </row>
    <row r="226" spans="1:9" x14ac:dyDescent="0.25">
      <c r="A226" t="s">
        <v>652</v>
      </c>
      <c r="B226" t="s">
        <v>42</v>
      </c>
      <c r="C226" t="s">
        <v>60</v>
      </c>
      <c r="D226" t="s">
        <v>69</v>
      </c>
      <c r="E226" t="s">
        <v>24</v>
      </c>
      <c r="F226" t="s">
        <v>90</v>
      </c>
      <c r="G226" t="s">
        <v>51</v>
      </c>
      <c r="H226" t="s">
        <v>128</v>
      </c>
      <c r="I226" t="s">
        <v>119</v>
      </c>
    </row>
    <row r="227" spans="1:9" x14ac:dyDescent="0.25">
      <c r="A227" t="s">
        <v>653</v>
      </c>
      <c r="B227" t="s">
        <v>42</v>
      </c>
      <c r="C227" t="s">
        <v>60</v>
      </c>
      <c r="D227" t="s">
        <v>69</v>
      </c>
      <c r="E227" t="s">
        <v>24</v>
      </c>
      <c r="F227" t="s">
        <v>99</v>
      </c>
      <c r="G227" t="s">
        <v>51</v>
      </c>
      <c r="H227" t="s">
        <v>108</v>
      </c>
      <c r="I227" t="s">
        <v>119</v>
      </c>
    </row>
    <row r="228" spans="1:9" x14ac:dyDescent="0.25">
      <c r="A228" t="s">
        <v>654</v>
      </c>
      <c r="B228" t="s">
        <v>42</v>
      </c>
      <c r="C228" t="s">
        <v>60</v>
      </c>
      <c r="D228" t="s">
        <v>69</v>
      </c>
      <c r="E228" t="s">
        <v>24</v>
      </c>
      <c r="F228" t="s">
        <v>99</v>
      </c>
      <c r="G228" t="s">
        <v>51</v>
      </c>
      <c r="H228" t="s">
        <v>128</v>
      </c>
      <c r="I228" t="s">
        <v>108</v>
      </c>
    </row>
    <row r="229" spans="1:9" x14ac:dyDescent="0.25">
      <c r="A229" t="s">
        <v>655</v>
      </c>
      <c r="B229" t="s">
        <v>42</v>
      </c>
      <c r="C229" t="s">
        <v>60</v>
      </c>
      <c r="D229" t="s">
        <v>69</v>
      </c>
      <c r="E229" t="s">
        <v>24</v>
      </c>
      <c r="F229" t="s">
        <v>99</v>
      </c>
      <c r="G229" t="s">
        <v>51</v>
      </c>
      <c r="H229" t="s">
        <v>128</v>
      </c>
      <c r="I229" t="s">
        <v>119</v>
      </c>
    </row>
    <row r="230" spans="1:9" x14ac:dyDescent="0.25">
      <c r="A230" t="s">
        <v>656</v>
      </c>
      <c r="B230" t="s">
        <v>42</v>
      </c>
      <c r="C230" t="s">
        <v>60</v>
      </c>
      <c r="D230" t="s">
        <v>69</v>
      </c>
      <c r="E230" t="s">
        <v>24</v>
      </c>
      <c r="F230" t="s">
        <v>108</v>
      </c>
      <c r="G230" t="s">
        <v>51</v>
      </c>
      <c r="H230" t="s">
        <v>128</v>
      </c>
      <c r="I230" t="s">
        <v>119</v>
      </c>
    </row>
    <row r="231" spans="1:9" x14ac:dyDescent="0.25">
      <c r="A231" t="s">
        <v>657</v>
      </c>
      <c r="B231" t="s">
        <v>42</v>
      </c>
      <c r="C231" t="s">
        <v>60</v>
      </c>
      <c r="D231" t="s">
        <v>99</v>
      </c>
      <c r="E231" t="s">
        <v>24</v>
      </c>
      <c r="F231" t="s">
        <v>90</v>
      </c>
      <c r="G231" t="s">
        <v>80</v>
      </c>
      <c r="H231" t="s">
        <v>51</v>
      </c>
      <c r="I231" t="s">
        <v>108</v>
      </c>
    </row>
    <row r="232" spans="1:9" x14ac:dyDescent="0.25">
      <c r="A232" t="s">
        <v>658</v>
      </c>
      <c r="B232" t="s">
        <v>42</v>
      </c>
      <c r="C232" t="s">
        <v>60</v>
      </c>
      <c r="D232" t="s">
        <v>99</v>
      </c>
      <c r="E232" t="s">
        <v>24</v>
      </c>
      <c r="F232" t="s">
        <v>90</v>
      </c>
      <c r="G232" t="s">
        <v>80</v>
      </c>
      <c r="H232" t="s">
        <v>51</v>
      </c>
      <c r="I232" t="s">
        <v>119</v>
      </c>
    </row>
    <row r="233" spans="1:9" x14ac:dyDescent="0.25">
      <c r="A233" t="s">
        <v>659</v>
      </c>
      <c r="B233" t="s">
        <v>42</v>
      </c>
      <c r="C233" t="s">
        <v>60</v>
      </c>
      <c r="D233" t="s">
        <v>99</v>
      </c>
      <c r="E233" t="s">
        <v>51</v>
      </c>
      <c r="F233" t="s">
        <v>24</v>
      </c>
      <c r="G233" t="s">
        <v>80</v>
      </c>
      <c r="H233" t="s">
        <v>128</v>
      </c>
      <c r="I233" t="s">
        <v>90</v>
      </c>
    </row>
    <row r="234" spans="1:9" x14ac:dyDescent="0.25">
      <c r="A234" t="s">
        <v>660</v>
      </c>
      <c r="B234" t="s">
        <v>42</v>
      </c>
      <c r="C234" t="s">
        <v>60</v>
      </c>
      <c r="D234" t="s">
        <v>108</v>
      </c>
      <c r="E234" t="s">
        <v>24</v>
      </c>
      <c r="F234" t="s">
        <v>90</v>
      </c>
      <c r="G234" t="s">
        <v>80</v>
      </c>
      <c r="H234" t="s">
        <v>51</v>
      </c>
      <c r="I234" t="s">
        <v>119</v>
      </c>
    </row>
    <row r="235" spans="1:9" x14ac:dyDescent="0.25">
      <c r="A235" t="s">
        <v>661</v>
      </c>
      <c r="B235" t="s">
        <v>42</v>
      </c>
      <c r="C235" t="s">
        <v>60</v>
      </c>
      <c r="D235" t="s">
        <v>108</v>
      </c>
      <c r="E235" t="s">
        <v>51</v>
      </c>
      <c r="F235" t="s">
        <v>24</v>
      </c>
      <c r="G235" t="s">
        <v>80</v>
      </c>
      <c r="H235" t="s">
        <v>128</v>
      </c>
      <c r="I235" t="s">
        <v>90</v>
      </c>
    </row>
    <row r="236" spans="1:9" x14ac:dyDescent="0.25">
      <c r="A236" t="s">
        <v>662</v>
      </c>
      <c r="B236" t="s">
        <v>42</v>
      </c>
      <c r="C236" t="s">
        <v>80</v>
      </c>
      <c r="D236" t="s">
        <v>60</v>
      </c>
      <c r="E236" t="s">
        <v>24</v>
      </c>
      <c r="F236" t="s">
        <v>90</v>
      </c>
      <c r="G236" t="s">
        <v>51</v>
      </c>
      <c r="H236" t="s">
        <v>128</v>
      </c>
      <c r="I236" t="s">
        <v>119</v>
      </c>
    </row>
    <row r="237" spans="1:9" x14ac:dyDescent="0.25">
      <c r="A237" t="s">
        <v>663</v>
      </c>
      <c r="B237" t="s">
        <v>42</v>
      </c>
      <c r="C237" t="s">
        <v>60</v>
      </c>
      <c r="D237" t="s">
        <v>99</v>
      </c>
      <c r="E237" t="s">
        <v>24</v>
      </c>
      <c r="F237" t="s">
        <v>108</v>
      </c>
      <c r="G237" t="s">
        <v>80</v>
      </c>
      <c r="H237" t="s">
        <v>51</v>
      </c>
      <c r="I237" t="s">
        <v>119</v>
      </c>
    </row>
    <row r="238" spans="1:9" x14ac:dyDescent="0.25">
      <c r="A238" t="s">
        <v>664</v>
      </c>
      <c r="B238" t="s">
        <v>42</v>
      </c>
      <c r="C238" t="s">
        <v>60</v>
      </c>
      <c r="D238" t="s">
        <v>99</v>
      </c>
      <c r="E238" t="s">
        <v>51</v>
      </c>
      <c r="F238" t="s">
        <v>24</v>
      </c>
      <c r="G238" t="s">
        <v>80</v>
      </c>
      <c r="H238" t="s">
        <v>128</v>
      </c>
      <c r="I238" t="s">
        <v>108</v>
      </c>
    </row>
    <row r="239" spans="1:9" x14ac:dyDescent="0.25">
      <c r="A239" t="s">
        <v>665</v>
      </c>
      <c r="B239" t="s">
        <v>42</v>
      </c>
      <c r="C239" t="s">
        <v>60</v>
      </c>
      <c r="D239" t="s">
        <v>99</v>
      </c>
      <c r="E239" t="s">
        <v>51</v>
      </c>
      <c r="F239" t="s">
        <v>24</v>
      </c>
      <c r="G239" t="s">
        <v>80</v>
      </c>
      <c r="H239" t="s">
        <v>128</v>
      </c>
      <c r="I239" t="s">
        <v>119</v>
      </c>
    </row>
    <row r="240" spans="1:9" x14ac:dyDescent="0.25">
      <c r="A240" t="s">
        <v>666</v>
      </c>
      <c r="B240" t="s">
        <v>42</v>
      </c>
      <c r="C240" t="s">
        <v>60</v>
      </c>
      <c r="D240" t="s">
        <v>108</v>
      </c>
      <c r="E240" t="s">
        <v>51</v>
      </c>
      <c r="F240" t="s">
        <v>24</v>
      </c>
      <c r="G240" t="s">
        <v>80</v>
      </c>
      <c r="H240" t="s">
        <v>128</v>
      </c>
      <c r="I240" t="s">
        <v>119</v>
      </c>
    </row>
    <row r="241" spans="1:9" x14ac:dyDescent="0.25">
      <c r="A241" t="s">
        <v>667</v>
      </c>
      <c r="B241" t="s">
        <v>42</v>
      </c>
      <c r="C241" t="s">
        <v>60</v>
      </c>
      <c r="D241" t="s">
        <v>99</v>
      </c>
      <c r="E241" t="s">
        <v>24</v>
      </c>
      <c r="F241" t="s">
        <v>90</v>
      </c>
      <c r="G241" t="s">
        <v>51</v>
      </c>
      <c r="H241" t="s">
        <v>108</v>
      </c>
      <c r="I241" t="s">
        <v>119</v>
      </c>
    </row>
    <row r="242" spans="1:9" x14ac:dyDescent="0.25">
      <c r="A242" t="s">
        <v>668</v>
      </c>
      <c r="B242" t="s">
        <v>42</v>
      </c>
      <c r="C242" t="s">
        <v>60</v>
      </c>
      <c r="D242" t="s">
        <v>99</v>
      </c>
      <c r="E242" t="s">
        <v>24</v>
      </c>
      <c r="F242" t="s">
        <v>90</v>
      </c>
      <c r="G242" t="s">
        <v>51</v>
      </c>
      <c r="H242" t="s">
        <v>128</v>
      </c>
      <c r="I242" t="s">
        <v>108</v>
      </c>
    </row>
    <row r="243" spans="1:9" x14ac:dyDescent="0.25">
      <c r="A243" t="s">
        <v>669</v>
      </c>
      <c r="B243" t="s">
        <v>42</v>
      </c>
      <c r="C243" t="s">
        <v>60</v>
      </c>
      <c r="D243" t="s">
        <v>99</v>
      </c>
      <c r="E243" t="s">
        <v>24</v>
      </c>
      <c r="F243" t="s">
        <v>90</v>
      </c>
      <c r="G243" t="s">
        <v>51</v>
      </c>
      <c r="H243" t="s">
        <v>128</v>
      </c>
      <c r="I243" t="s">
        <v>119</v>
      </c>
    </row>
    <row r="244" spans="1:9" x14ac:dyDescent="0.25">
      <c r="A244" t="s">
        <v>670</v>
      </c>
      <c r="B244" t="s">
        <v>42</v>
      </c>
      <c r="C244" t="s">
        <v>60</v>
      </c>
      <c r="D244" t="s">
        <v>108</v>
      </c>
      <c r="E244" t="s">
        <v>24</v>
      </c>
      <c r="F244" t="s">
        <v>90</v>
      </c>
      <c r="G244" t="s">
        <v>51</v>
      </c>
      <c r="H244" t="s">
        <v>128</v>
      </c>
      <c r="I244" t="s">
        <v>119</v>
      </c>
    </row>
    <row r="245" spans="1:9" x14ac:dyDescent="0.25">
      <c r="A245" t="s">
        <v>671</v>
      </c>
      <c r="B245" t="s">
        <v>42</v>
      </c>
      <c r="C245" t="s">
        <v>60</v>
      </c>
      <c r="D245" t="s">
        <v>99</v>
      </c>
      <c r="E245" t="s">
        <v>24</v>
      </c>
      <c r="F245" t="s">
        <v>108</v>
      </c>
      <c r="G245" t="s">
        <v>51</v>
      </c>
      <c r="H245" t="s">
        <v>128</v>
      </c>
      <c r="I245" t="s">
        <v>119</v>
      </c>
    </row>
    <row r="246" spans="1:9" x14ac:dyDescent="0.25">
      <c r="A246" t="s">
        <v>672</v>
      </c>
      <c r="B246" t="s">
        <v>42</v>
      </c>
      <c r="C246" t="s">
        <v>69</v>
      </c>
      <c r="D246" t="s">
        <v>99</v>
      </c>
      <c r="E246" t="s">
        <v>24</v>
      </c>
      <c r="F246" t="s">
        <v>90</v>
      </c>
      <c r="G246" t="s">
        <v>80</v>
      </c>
      <c r="H246" t="s">
        <v>51</v>
      </c>
      <c r="I246" t="s">
        <v>108</v>
      </c>
    </row>
    <row r="247" spans="1:9" x14ac:dyDescent="0.25">
      <c r="A247" t="s">
        <v>673</v>
      </c>
      <c r="B247" t="s">
        <v>42</v>
      </c>
      <c r="C247" t="s">
        <v>69</v>
      </c>
      <c r="D247" t="s">
        <v>99</v>
      </c>
      <c r="E247" t="s">
        <v>24</v>
      </c>
      <c r="F247" t="s">
        <v>90</v>
      </c>
      <c r="G247" t="s">
        <v>80</v>
      </c>
      <c r="H247" t="s">
        <v>51</v>
      </c>
      <c r="I247" t="s">
        <v>119</v>
      </c>
    </row>
    <row r="248" spans="1:9" x14ac:dyDescent="0.25">
      <c r="A248" t="s">
        <v>674</v>
      </c>
      <c r="B248" t="s">
        <v>42</v>
      </c>
      <c r="C248" t="s">
        <v>69</v>
      </c>
      <c r="D248" t="s">
        <v>99</v>
      </c>
      <c r="E248" t="s">
        <v>51</v>
      </c>
      <c r="F248" t="s">
        <v>24</v>
      </c>
      <c r="G248" t="s">
        <v>80</v>
      </c>
      <c r="H248" t="s">
        <v>128</v>
      </c>
      <c r="I248" t="s">
        <v>90</v>
      </c>
    </row>
    <row r="249" spans="1:9" x14ac:dyDescent="0.25">
      <c r="A249" t="s">
        <v>675</v>
      </c>
      <c r="B249" t="s">
        <v>42</v>
      </c>
      <c r="C249" t="s">
        <v>69</v>
      </c>
      <c r="D249" t="s">
        <v>108</v>
      </c>
      <c r="E249" t="s">
        <v>24</v>
      </c>
      <c r="F249" t="s">
        <v>90</v>
      </c>
      <c r="G249" t="s">
        <v>80</v>
      </c>
      <c r="H249" t="s">
        <v>51</v>
      </c>
      <c r="I249" t="s">
        <v>119</v>
      </c>
    </row>
    <row r="250" spans="1:9" x14ac:dyDescent="0.25">
      <c r="A250" t="s">
        <v>676</v>
      </c>
      <c r="B250" t="s">
        <v>42</v>
      </c>
      <c r="C250" t="s">
        <v>69</v>
      </c>
      <c r="D250" t="s">
        <v>108</v>
      </c>
      <c r="E250" t="s">
        <v>51</v>
      </c>
      <c r="F250" t="s">
        <v>24</v>
      </c>
      <c r="G250" t="s">
        <v>80</v>
      </c>
      <c r="H250" t="s">
        <v>128</v>
      </c>
      <c r="I250" t="s">
        <v>90</v>
      </c>
    </row>
    <row r="251" spans="1:9" x14ac:dyDescent="0.25">
      <c r="A251" t="s">
        <v>677</v>
      </c>
      <c r="B251" t="s">
        <v>42</v>
      </c>
      <c r="C251" t="s">
        <v>80</v>
      </c>
      <c r="D251" t="s">
        <v>69</v>
      </c>
      <c r="E251" t="s">
        <v>24</v>
      </c>
      <c r="F251" t="s">
        <v>90</v>
      </c>
      <c r="G251" t="s">
        <v>51</v>
      </c>
      <c r="H251" t="s">
        <v>128</v>
      </c>
      <c r="I251" t="s">
        <v>119</v>
      </c>
    </row>
    <row r="252" spans="1:9" x14ac:dyDescent="0.25">
      <c r="A252" t="s">
        <v>678</v>
      </c>
      <c r="B252" t="s">
        <v>42</v>
      </c>
      <c r="C252" t="s">
        <v>69</v>
      </c>
      <c r="D252" t="s">
        <v>99</v>
      </c>
      <c r="E252" t="s">
        <v>24</v>
      </c>
      <c r="F252" t="s">
        <v>108</v>
      </c>
      <c r="G252" t="s">
        <v>80</v>
      </c>
      <c r="H252" t="s">
        <v>51</v>
      </c>
      <c r="I252" t="s">
        <v>119</v>
      </c>
    </row>
    <row r="253" spans="1:9" x14ac:dyDescent="0.25">
      <c r="A253" t="s">
        <v>679</v>
      </c>
      <c r="B253" t="s">
        <v>42</v>
      </c>
      <c r="C253" t="s">
        <v>69</v>
      </c>
      <c r="D253" t="s">
        <v>99</v>
      </c>
      <c r="E253" t="s">
        <v>51</v>
      </c>
      <c r="F253" t="s">
        <v>24</v>
      </c>
      <c r="G253" t="s">
        <v>80</v>
      </c>
      <c r="H253" t="s">
        <v>128</v>
      </c>
      <c r="I253" t="s">
        <v>108</v>
      </c>
    </row>
    <row r="254" spans="1:9" x14ac:dyDescent="0.25">
      <c r="A254" t="s">
        <v>680</v>
      </c>
      <c r="B254" t="s">
        <v>42</v>
      </c>
      <c r="C254" t="s">
        <v>69</v>
      </c>
      <c r="D254" t="s">
        <v>99</v>
      </c>
      <c r="E254" t="s">
        <v>51</v>
      </c>
      <c r="F254" t="s">
        <v>24</v>
      </c>
      <c r="G254" t="s">
        <v>80</v>
      </c>
      <c r="H254" t="s">
        <v>128</v>
      </c>
      <c r="I254" t="s">
        <v>119</v>
      </c>
    </row>
    <row r="255" spans="1:9" x14ac:dyDescent="0.25">
      <c r="A255" t="s">
        <v>681</v>
      </c>
      <c r="B255" t="s">
        <v>42</v>
      </c>
      <c r="C255" t="s">
        <v>69</v>
      </c>
      <c r="D255" t="s">
        <v>108</v>
      </c>
      <c r="E255" t="s">
        <v>51</v>
      </c>
      <c r="F255" t="s">
        <v>24</v>
      </c>
      <c r="G255" t="s">
        <v>80</v>
      </c>
      <c r="H255" t="s">
        <v>128</v>
      </c>
      <c r="I255" t="s">
        <v>119</v>
      </c>
    </row>
    <row r="256" spans="1:9" x14ac:dyDescent="0.25">
      <c r="A256" t="s">
        <v>682</v>
      </c>
      <c r="B256" t="s">
        <v>42</v>
      </c>
      <c r="C256" t="s">
        <v>69</v>
      </c>
      <c r="D256" t="s">
        <v>99</v>
      </c>
      <c r="E256" t="s">
        <v>24</v>
      </c>
      <c r="F256" t="s">
        <v>90</v>
      </c>
      <c r="G256" t="s">
        <v>51</v>
      </c>
      <c r="H256" t="s">
        <v>108</v>
      </c>
      <c r="I256" t="s">
        <v>119</v>
      </c>
    </row>
    <row r="257" spans="1:9" x14ac:dyDescent="0.25">
      <c r="A257" t="s">
        <v>683</v>
      </c>
      <c r="B257" t="s">
        <v>42</v>
      </c>
      <c r="C257" t="s">
        <v>69</v>
      </c>
      <c r="D257" t="s">
        <v>99</v>
      </c>
      <c r="E257" t="s">
        <v>24</v>
      </c>
      <c r="F257" t="s">
        <v>90</v>
      </c>
      <c r="G257" t="s">
        <v>51</v>
      </c>
      <c r="H257" t="s">
        <v>128</v>
      </c>
      <c r="I257" t="s">
        <v>108</v>
      </c>
    </row>
    <row r="258" spans="1:9" x14ac:dyDescent="0.25">
      <c r="A258" t="s">
        <v>684</v>
      </c>
      <c r="B258" t="s">
        <v>42</v>
      </c>
      <c r="C258" t="s">
        <v>69</v>
      </c>
      <c r="D258" t="s">
        <v>99</v>
      </c>
      <c r="E258" t="s">
        <v>24</v>
      </c>
      <c r="F258" t="s">
        <v>90</v>
      </c>
      <c r="G258" t="s">
        <v>51</v>
      </c>
      <c r="H258" t="s">
        <v>128</v>
      </c>
      <c r="I258" t="s">
        <v>119</v>
      </c>
    </row>
    <row r="259" spans="1:9" x14ac:dyDescent="0.25">
      <c r="A259" t="s">
        <v>685</v>
      </c>
      <c r="B259" t="s">
        <v>42</v>
      </c>
      <c r="C259" t="s">
        <v>69</v>
      </c>
      <c r="D259" t="s">
        <v>108</v>
      </c>
      <c r="E259" t="s">
        <v>24</v>
      </c>
      <c r="F259" t="s">
        <v>90</v>
      </c>
      <c r="G259" t="s">
        <v>51</v>
      </c>
      <c r="H259" t="s">
        <v>128</v>
      </c>
      <c r="I259" t="s">
        <v>119</v>
      </c>
    </row>
    <row r="260" spans="1:9" x14ac:dyDescent="0.25">
      <c r="A260" t="s">
        <v>686</v>
      </c>
      <c r="B260" t="s">
        <v>42</v>
      </c>
      <c r="C260" t="s">
        <v>69</v>
      </c>
      <c r="D260" t="s">
        <v>99</v>
      </c>
      <c r="E260" t="s">
        <v>24</v>
      </c>
      <c r="F260" t="s">
        <v>108</v>
      </c>
      <c r="G260" t="s">
        <v>51</v>
      </c>
      <c r="H260" t="s">
        <v>128</v>
      </c>
      <c r="I260" t="s">
        <v>119</v>
      </c>
    </row>
    <row r="261" spans="1:9" x14ac:dyDescent="0.25">
      <c r="A261" t="s">
        <v>687</v>
      </c>
      <c r="B261" t="s">
        <v>42</v>
      </c>
      <c r="C261" t="s">
        <v>80</v>
      </c>
      <c r="D261" t="s">
        <v>99</v>
      </c>
      <c r="E261" t="s">
        <v>24</v>
      </c>
      <c r="F261" t="s">
        <v>90</v>
      </c>
      <c r="G261" t="s">
        <v>51</v>
      </c>
      <c r="H261" t="s">
        <v>108</v>
      </c>
      <c r="I261" t="s">
        <v>119</v>
      </c>
    </row>
    <row r="262" spans="1:9" x14ac:dyDescent="0.25">
      <c r="A262" t="s">
        <v>688</v>
      </c>
      <c r="B262" t="s">
        <v>42</v>
      </c>
      <c r="C262" t="s">
        <v>80</v>
      </c>
      <c r="D262" t="s">
        <v>99</v>
      </c>
      <c r="E262" t="s">
        <v>24</v>
      </c>
      <c r="F262" t="s">
        <v>90</v>
      </c>
      <c r="G262" t="s">
        <v>51</v>
      </c>
      <c r="H262" t="s">
        <v>128</v>
      </c>
      <c r="I262" t="s">
        <v>108</v>
      </c>
    </row>
    <row r="263" spans="1:9" x14ac:dyDescent="0.25">
      <c r="A263" t="s">
        <v>689</v>
      </c>
      <c r="B263" t="s">
        <v>42</v>
      </c>
      <c r="C263" t="s">
        <v>80</v>
      </c>
      <c r="D263" t="s">
        <v>99</v>
      </c>
      <c r="E263" t="s">
        <v>24</v>
      </c>
      <c r="F263" t="s">
        <v>90</v>
      </c>
      <c r="G263" t="s">
        <v>51</v>
      </c>
      <c r="H263" t="s">
        <v>128</v>
      </c>
      <c r="I263" t="s">
        <v>119</v>
      </c>
    </row>
    <row r="264" spans="1:9" x14ac:dyDescent="0.25">
      <c r="A264" t="s">
        <v>690</v>
      </c>
      <c r="B264" t="s">
        <v>42</v>
      </c>
      <c r="C264" t="s">
        <v>80</v>
      </c>
      <c r="D264" t="s">
        <v>108</v>
      </c>
      <c r="E264" t="s">
        <v>24</v>
      </c>
      <c r="F264" t="s">
        <v>90</v>
      </c>
      <c r="G264" t="s">
        <v>51</v>
      </c>
      <c r="H264" t="s">
        <v>128</v>
      </c>
      <c r="I264" t="s">
        <v>119</v>
      </c>
    </row>
    <row r="265" spans="1:9" x14ac:dyDescent="0.25">
      <c r="A265" t="s">
        <v>691</v>
      </c>
      <c r="B265" t="s">
        <v>42</v>
      </c>
      <c r="C265" t="s">
        <v>80</v>
      </c>
      <c r="D265" t="s">
        <v>99</v>
      </c>
      <c r="E265" t="s">
        <v>24</v>
      </c>
      <c r="F265" t="s">
        <v>108</v>
      </c>
      <c r="G265" t="s">
        <v>51</v>
      </c>
      <c r="H265" t="s">
        <v>128</v>
      </c>
      <c r="I265" t="s">
        <v>119</v>
      </c>
    </row>
    <row r="266" spans="1:9" x14ac:dyDescent="0.25">
      <c r="A266" t="s">
        <v>692</v>
      </c>
      <c r="B266" t="s">
        <v>42</v>
      </c>
      <c r="C266" t="s">
        <v>99</v>
      </c>
      <c r="D266" t="s">
        <v>108</v>
      </c>
      <c r="E266" t="s">
        <v>24</v>
      </c>
      <c r="F266" t="s">
        <v>90</v>
      </c>
      <c r="G266" t="s">
        <v>51</v>
      </c>
      <c r="H266" t="s">
        <v>128</v>
      </c>
      <c r="I266" t="s">
        <v>119</v>
      </c>
    </row>
    <row r="267" spans="1:9" x14ac:dyDescent="0.25">
      <c r="A267" t="s">
        <v>693</v>
      </c>
      <c r="B267" t="s">
        <v>42</v>
      </c>
      <c r="C267" t="s">
        <v>60</v>
      </c>
      <c r="D267" t="s">
        <v>69</v>
      </c>
      <c r="E267" t="s">
        <v>24</v>
      </c>
      <c r="F267" t="s">
        <v>90</v>
      </c>
      <c r="G267" t="s">
        <v>80</v>
      </c>
      <c r="H267" t="s">
        <v>99</v>
      </c>
      <c r="I267" t="s">
        <v>108</v>
      </c>
    </row>
    <row r="268" spans="1:9" x14ac:dyDescent="0.25">
      <c r="A268" t="s">
        <v>694</v>
      </c>
      <c r="B268" t="s">
        <v>42</v>
      </c>
      <c r="C268" t="s">
        <v>60</v>
      </c>
      <c r="D268" t="s">
        <v>69</v>
      </c>
      <c r="E268" t="s">
        <v>24</v>
      </c>
      <c r="F268" t="s">
        <v>90</v>
      </c>
      <c r="G268" t="s">
        <v>80</v>
      </c>
      <c r="H268" t="s">
        <v>99</v>
      </c>
      <c r="I268" t="s">
        <v>119</v>
      </c>
    </row>
    <row r="269" spans="1:9" x14ac:dyDescent="0.25">
      <c r="A269" t="s">
        <v>695</v>
      </c>
      <c r="B269" t="s">
        <v>42</v>
      </c>
      <c r="C269" t="s">
        <v>60</v>
      </c>
      <c r="D269" t="s">
        <v>69</v>
      </c>
      <c r="E269" t="s">
        <v>24</v>
      </c>
      <c r="F269" t="s">
        <v>90</v>
      </c>
      <c r="G269" t="s">
        <v>80</v>
      </c>
      <c r="H269" t="s">
        <v>128</v>
      </c>
      <c r="I269" t="s">
        <v>99</v>
      </c>
    </row>
    <row r="270" spans="1:9" x14ac:dyDescent="0.25">
      <c r="A270" t="s">
        <v>696</v>
      </c>
      <c r="B270" t="s">
        <v>42</v>
      </c>
      <c r="C270" t="s">
        <v>60</v>
      </c>
      <c r="D270" t="s">
        <v>69</v>
      </c>
      <c r="E270" t="s">
        <v>24</v>
      </c>
      <c r="F270" t="s">
        <v>90</v>
      </c>
      <c r="G270" t="s">
        <v>80</v>
      </c>
      <c r="H270" t="s">
        <v>108</v>
      </c>
      <c r="I270" t="s">
        <v>119</v>
      </c>
    </row>
    <row r="271" spans="1:9" x14ac:dyDescent="0.25">
      <c r="A271" t="s">
        <v>697</v>
      </c>
      <c r="B271" t="s">
        <v>42</v>
      </c>
      <c r="C271" t="s">
        <v>60</v>
      </c>
      <c r="D271" t="s">
        <v>69</v>
      </c>
      <c r="E271" t="s">
        <v>24</v>
      </c>
      <c r="F271" t="s">
        <v>90</v>
      </c>
      <c r="G271" t="s">
        <v>80</v>
      </c>
      <c r="H271" t="s">
        <v>128</v>
      </c>
      <c r="I271" t="s">
        <v>108</v>
      </c>
    </row>
    <row r="272" spans="1:9" x14ac:dyDescent="0.25">
      <c r="A272" t="s">
        <v>698</v>
      </c>
      <c r="B272" t="s">
        <v>42</v>
      </c>
      <c r="C272" t="s">
        <v>60</v>
      </c>
      <c r="D272" t="s">
        <v>69</v>
      </c>
      <c r="E272" t="s">
        <v>24</v>
      </c>
      <c r="F272" t="s">
        <v>90</v>
      </c>
      <c r="G272" t="s">
        <v>80</v>
      </c>
      <c r="H272" t="s">
        <v>128</v>
      </c>
      <c r="I272" t="s">
        <v>119</v>
      </c>
    </row>
    <row r="273" spans="1:9" x14ac:dyDescent="0.25">
      <c r="A273" t="s">
        <v>699</v>
      </c>
      <c r="B273" t="s">
        <v>42</v>
      </c>
      <c r="C273" t="s">
        <v>60</v>
      </c>
      <c r="D273" t="s">
        <v>69</v>
      </c>
      <c r="E273" t="s">
        <v>24</v>
      </c>
      <c r="F273" t="s">
        <v>99</v>
      </c>
      <c r="G273" t="s">
        <v>80</v>
      </c>
      <c r="H273" t="s">
        <v>108</v>
      </c>
      <c r="I273" t="s">
        <v>119</v>
      </c>
    </row>
    <row r="274" spans="1:9" x14ac:dyDescent="0.25">
      <c r="A274" t="s">
        <v>700</v>
      </c>
      <c r="B274" t="s">
        <v>42</v>
      </c>
      <c r="C274" t="s">
        <v>60</v>
      </c>
      <c r="D274" t="s">
        <v>69</v>
      </c>
      <c r="E274" t="s">
        <v>24</v>
      </c>
      <c r="F274" t="s">
        <v>99</v>
      </c>
      <c r="G274" t="s">
        <v>80</v>
      </c>
      <c r="H274" t="s">
        <v>128</v>
      </c>
      <c r="I274" t="s">
        <v>108</v>
      </c>
    </row>
    <row r="275" spans="1:9" x14ac:dyDescent="0.25">
      <c r="A275" t="s">
        <v>701</v>
      </c>
      <c r="B275" t="s">
        <v>42</v>
      </c>
      <c r="C275" t="s">
        <v>60</v>
      </c>
      <c r="D275" t="s">
        <v>69</v>
      </c>
      <c r="E275" t="s">
        <v>24</v>
      </c>
      <c r="F275" t="s">
        <v>99</v>
      </c>
      <c r="G275" t="s">
        <v>80</v>
      </c>
      <c r="H275" t="s">
        <v>128</v>
      </c>
      <c r="I275" t="s">
        <v>119</v>
      </c>
    </row>
    <row r="276" spans="1:9" x14ac:dyDescent="0.25">
      <c r="A276" t="s">
        <v>702</v>
      </c>
      <c r="B276" t="s">
        <v>42</v>
      </c>
      <c r="C276" t="s">
        <v>60</v>
      </c>
      <c r="D276" t="s">
        <v>69</v>
      </c>
      <c r="E276" t="s">
        <v>24</v>
      </c>
      <c r="F276" t="s">
        <v>108</v>
      </c>
      <c r="G276" t="s">
        <v>80</v>
      </c>
      <c r="H276" t="s">
        <v>128</v>
      </c>
      <c r="I276" t="s">
        <v>119</v>
      </c>
    </row>
    <row r="277" spans="1:9" x14ac:dyDescent="0.25">
      <c r="A277" t="s">
        <v>703</v>
      </c>
      <c r="B277" t="s">
        <v>42</v>
      </c>
      <c r="C277" t="s">
        <v>60</v>
      </c>
      <c r="D277" t="s">
        <v>69</v>
      </c>
      <c r="E277" t="s">
        <v>24</v>
      </c>
      <c r="F277" t="s">
        <v>99</v>
      </c>
      <c r="G277" t="s">
        <v>90</v>
      </c>
      <c r="H277" t="s">
        <v>108</v>
      </c>
      <c r="I277" t="s">
        <v>119</v>
      </c>
    </row>
    <row r="278" spans="1:9" x14ac:dyDescent="0.25">
      <c r="A278" t="s">
        <v>704</v>
      </c>
      <c r="B278" t="s">
        <v>42</v>
      </c>
      <c r="C278" t="s">
        <v>60</v>
      </c>
      <c r="D278" t="s">
        <v>69</v>
      </c>
      <c r="E278" t="s">
        <v>24</v>
      </c>
      <c r="F278" t="s">
        <v>99</v>
      </c>
      <c r="G278" t="s">
        <v>90</v>
      </c>
      <c r="H278" t="s">
        <v>128</v>
      </c>
      <c r="I278" t="s">
        <v>108</v>
      </c>
    </row>
    <row r="279" spans="1:9" x14ac:dyDescent="0.25">
      <c r="A279" t="s">
        <v>705</v>
      </c>
      <c r="B279" t="s">
        <v>42</v>
      </c>
      <c r="C279" t="s">
        <v>60</v>
      </c>
      <c r="D279" t="s">
        <v>69</v>
      </c>
      <c r="E279" t="s">
        <v>24</v>
      </c>
      <c r="F279" t="s">
        <v>99</v>
      </c>
      <c r="G279" t="s">
        <v>90</v>
      </c>
      <c r="H279" t="s">
        <v>128</v>
      </c>
      <c r="I279" t="s">
        <v>119</v>
      </c>
    </row>
    <row r="280" spans="1:9" x14ac:dyDescent="0.25">
      <c r="A280" t="s">
        <v>706</v>
      </c>
      <c r="B280" t="s">
        <v>42</v>
      </c>
      <c r="C280" t="s">
        <v>60</v>
      </c>
      <c r="D280" t="s">
        <v>69</v>
      </c>
      <c r="E280" t="s">
        <v>24</v>
      </c>
      <c r="F280" t="s">
        <v>108</v>
      </c>
      <c r="G280" t="s">
        <v>90</v>
      </c>
      <c r="H280" t="s">
        <v>128</v>
      </c>
      <c r="I280" t="s">
        <v>119</v>
      </c>
    </row>
    <row r="281" spans="1:9" x14ac:dyDescent="0.25">
      <c r="A281" t="s">
        <v>707</v>
      </c>
      <c r="B281" t="s">
        <v>42</v>
      </c>
      <c r="C281" t="s">
        <v>60</v>
      </c>
      <c r="D281" t="s">
        <v>99</v>
      </c>
      <c r="E281" t="s">
        <v>24</v>
      </c>
      <c r="F281" t="s">
        <v>108</v>
      </c>
      <c r="G281" t="s">
        <v>69</v>
      </c>
      <c r="H281" t="s">
        <v>128</v>
      </c>
      <c r="I281" t="s">
        <v>119</v>
      </c>
    </row>
    <row r="282" spans="1:9" x14ac:dyDescent="0.25">
      <c r="A282" t="s">
        <v>708</v>
      </c>
      <c r="B282" t="s">
        <v>42</v>
      </c>
      <c r="C282" t="s">
        <v>60</v>
      </c>
      <c r="D282" t="s">
        <v>99</v>
      </c>
      <c r="E282" t="s">
        <v>24</v>
      </c>
      <c r="F282" t="s">
        <v>90</v>
      </c>
      <c r="G282" t="s">
        <v>80</v>
      </c>
      <c r="H282" t="s">
        <v>108</v>
      </c>
      <c r="I282" t="s">
        <v>119</v>
      </c>
    </row>
    <row r="283" spans="1:9" x14ac:dyDescent="0.25">
      <c r="A283" t="s">
        <v>709</v>
      </c>
      <c r="B283" t="s">
        <v>42</v>
      </c>
      <c r="C283" t="s">
        <v>60</v>
      </c>
      <c r="D283" t="s">
        <v>99</v>
      </c>
      <c r="E283" t="s">
        <v>24</v>
      </c>
      <c r="F283" t="s">
        <v>90</v>
      </c>
      <c r="G283" t="s">
        <v>80</v>
      </c>
      <c r="H283" t="s">
        <v>128</v>
      </c>
      <c r="I283" t="s">
        <v>108</v>
      </c>
    </row>
    <row r="284" spans="1:9" x14ac:dyDescent="0.25">
      <c r="A284" t="s">
        <v>710</v>
      </c>
      <c r="B284" t="s">
        <v>42</v>
      </c>
      <c r="C284" t="s">
        <v>60</v>
      </c>
      <c r="D284" t="s">
        <v>99</v>
      </c>
      <c r="E284" t="s">
        <v>24</v>
      </c>
      <c r="F284" t="s">
        <v>90</v>
      </c>
      <c r="G284" t="s">
        <v>80</v>
      </c>
      <c r="H284" t="s">
        <v>128</v>
      </c>
      <c r="I284" t="s">
        <v>119</v>
      </c>
    </row>
    <row r="285" spans="1:9" x14ac:dyDescent="0.25">
      <c r="A285" t="s">
        <v>711</v>
      </c>
      <c r="B285" t="s">
        <v>42</v>
      </c>
      <c r="C285" t="s">
        <v>60</v>
      </c>
      <c r="D285" t="s">
        <v>108</v>
      </c>
      <c r="E285" t="s">
        <v>24</v>
      </c>
      <c r="F285" t="s">
        <v>90</v>
      </c>
      <c r="G285" t="s">
        <v>80</v>
      </c>
      <c r="H285" t="s">
        <v>128</v>
      </c>
      <c r="I285" t="s">
        <v>119</v>
      </c>
    </row>
    <row r="286" spans="1:9" x14ac:dyDescent="0.25">
      <c r="A286" t="s">
        <v>712</v>
      </c>
      <c r="B286" t="s">
        <v>42</v>
      </c>
      <c r="C286" t="s">
        <v>60</v>
      </c>
      <c r="D286" t="s">
        <v>99</v>
      </c>
      <c r="E286" t="s">
        <v>24</v>
      </c>
      <c r="F286" t="s">
        <v>108</v>
      </c>
      <c r="G286" t="s">
        <v>80</v>
      </c>
      <c r="H286" t="s">
        <v>128</v>
      </c>
      <c r="I286" t="s">
        <v>119</v>
      </c>
    </row>
    <row r="287" spans="1:9" x14ac:dyDescent="0.25">
      <c r="A287" t="s">
        <v>713</v>
      </c>
      <c r="B287" t="s">
        <v>42</v>
      </c>
      <c r="C287" t="s">
        <v>60</v>
      </c>
      <c r="D287" t="s">
        <v>99</v>
      </c>
      <c r="E287" t="s">
        <v>24</v>
      </c>
      <c r="F287" t="s">
        <v>108</v>
      </c>
      <c r="G287" t="s">
        <v>90</v>
      </c>
      <c r="H287" t="s">
        <v>128</v>
      </c>
      <c r="I287" t="s">
        <v>119</v>
      </c>
    </row>
    <row r="288" spans="1:9" x14ac:dyDescent="0.25">
      <c r="A288" t="s">
        <v>714</v>
      </c>
      <c r="B288" t="s">
        <v>42</v>
      </c>
      <c r="C288" t="s">
        <v>69</v>
      </c>
      <c r="D288" t="s">
        <v>99</v>
      </c>
      <c r="E288" t="s">
        <v>24</v>
      </c>
      <c r="F288" t="s">
        <v>90</v>
      </c>
      <c r="G288" t="s">
        <v>80</v>
      </c>
      <c r="H288" t="s">
        <v>108</v>
      </c>
      <c r="I288" t="s">
        <v>119</v>
      </c>
    </row>
    <row r="289" spans="1:9" x14ac:dyDescent="0.25">
      <c r="A289" t="s">
        <v>715</v>
      </c>
      <c r="B289" t="s">
        <v>42</v>
      </c>
      <c r="C289" t="s">
        <v>69</v>
      </c>
      <c r="D289" t="s">
        <v>99</v>
      </c>
      <c r="E289" t="s">
        <v>24</v>
      </c>
      <c r="F289" t="s">
        <v>90</v>
      </c>
      <c r="G289" t="s">
        <v>80</v>
      </c>
      <c r="H289" t="s">
        <v>128</v>
      </c>
      <c r="I289" t="s">
        <v>108</v>
      </c>
    </row>
    <row r="290" spans="1:9" x14ac:dyDescent="0.25">
      <c r="A290" t="s">
        <v>716</v>
      </c>
      <c r="B290" t="s">
        <v>42</v>
      </c>
      <c r="C290" t="s">
        <v>69</v>
      </c>
      <c r="D290" t="s">
        <v>99</v>
      </c>
      <c r="E290" t="s">
        <v>24</v>
      </c>
      <c r="F290" t="s">
        <v>90</v>
      </c>
      <c r="G290" t="s">
        <v>80</v>
      </c>
      <c r="H290" t="s">
        <v>128</v>
      </c>
      <c r="I290" t="s">
        <v>119</v>
      </c>
    </row>
    <row r="291" spans="1:9" x14ac:dyDescent="0.25">
      <c r="A291" t="s">
        <v>717</v>
      </c>
      <c r="B291" t="s">
        <v>42</v>
      </c>
      <c r="C291" t="s">
        <v>69</v>
      </c>
      <c r="D291" t="s">
        <v>108</v>
      </c>
      <c r="E291" t="s">
        <v>24</v>
      </c>
      <c r="F291" t="s">
        <v>90</v>
      </c>
      <c r="G291" t="s">
        <v>80</v>
      </c>
      <c r="H291" t="s">
        <v>128</v>
      </c>
      <c r="I291" t="s">
        <v>119</v>
      </c>
    </row>
    <row r="292" spans="1:9" x14ac:dyDescent="0.25">
      <c r="A292" t="s">
        <v>718</v>
      </c>
      <c r="B292" t="s">
        <v>42</v>
      </c>
      <c r="C292" t="s">
        <v>69</v>
      </c>
      <c r="D292" t="s">
        <v>99</v>
      </c>
      <c r="E292" t="s">
        <v>24</v>
      </c>
      <c r="F292" t="s">
        <v>108</v>
      </c>
      <c r="G292" t="s">
        <v>80</v>
      </c>
      <c r="H292" t="s">
        <v>128</v>
      </c>
      <c r="I292" t="s">
        <v>119</v>
      </c>
    </row>
    <row r="293" spans="1:9" x14ac:dyDescent="0.25">
      <c r="A293" t="s">
        <v>719</v>
      </c>
      <c r="B293" t="s">
        <v>42</v>
      </c>
      <c r="C293" t="s">
        <v>69</v>
      </c>
      <c r="D293" t="s">
        <v>99</v>
      </c>
      <c r="E293" t="s">
        <v>24</v>
      </c>
      <c r="F293" t="s">
        <v>108</v>
      </c>
      <c r="G293" t="s">
        <v>90</v>
      </c>
      <c r="H293" t="s">
        <v>128</v>
      </c>
      <c r="I293" t="s">
        <v>119</v>
      </c>
    </row>
    <row r="294" spans="1:9" x14ac:dyDescent="0.25">
      <c r="A294" t="s">
        <v>720</v>
      </c>
      <c r="B294" t="s">
        <v>42</v>
      </c>
      <c r="C294" t="s">
        <v>80</v>
      </c>
      <c r="D294" t="s">
        <v>99</v>
      </c>
      <c r="E294" t="s">
        <v>24</v>
      </c>
      <c r="F294" t="s">
        <v>108</v>
      </c>
      <c r="G294" t="s">
        <v>90</v>
      </c>
      <c r="H294" t="s">
        <v>128</v>
      </c>
      <c r="I294" t="s">
        <v>119</v>
      </c>
    </row>
    <row r="295" spans="1:9" x14ac:dyDescent="0.25">
      <c r="A295" t="s">
        <v>721</v>
      </c>
      <c r="B295" t="s">
        <v>60</v>
      </c>
      <c r="C295" t="s">
        <v>69</v>
      </c>
      <c r="D295" t="s">
        <v>99</v>
      </c>
      <c r="E295" t="s">
        <v>24</v>
      </c>
      <c r="F295" t="s">
        <v>90</v>
      </c>
      <c r="G295" t="s">
        <v>80</v>
      </c>
      <c r="H295" t="s">
        <v>51</v>
      </c>
      <c r="I295" t="s">
        <v>108</v>
      </c>
    </row>
    <row r="296" spans="1:9" x14ac:dyDescent="0.25">
      <c r="A296" t="s">
        <v>722</v>
      </c>
      <c r="B296" t="s">
        <v>60</v>
      </c>
      <c r="C296" t="s">
        <v>69</v>
      </c>
      <c r="D296" t="s">
        <v>99</v>
      </c>
      <c r="E296" t="s">
        <v>24</v>
      </c>
      <c r="F296" t="s">
        <v>90</v>
      </c>
      <c r="G296" t="s">
        <v>80</v>
      </c>
      <c r="H296" t="s">
        <v>51</v>
      </c>
      <c r="I296" t="s">
        <v>119</v>
      </c>
    </row>
    <row r="297" spans="1:9" x14ac:dyDescent="0.25">
      <c r="A297" t="s">
        <v>723</v>
      </c>
      <c r="B297" t="s">
        <v>60</v>
      </c>
      <c r="C297" t="s">
        <v>69</v>
      </c>
      <c r="D297" t="s">
        <v>99</v>
      </c>
      <c r="E297" t="s">
        <v>51</v>
      </c>
      <c r="F297" t="s">
        <v>24</v>
      </c>
      <c r="G297" t="s">
        <v>80</v>
      </c>
      <c r="H297" t="s">
        <v>128</v>
      </c>
      <c r="I297" t="s">
        <v>90</v>
      </c>
    </row>
    <row r="298" spans="1:9" x14ac:dyDescent="0.25">
      <c r="A298" t="s">
        <v>724</v>
      </c>
      <c r="B298" t="s">
        <v>60</v>
      </c>
      <c r="C298" t="s">
        <v>69</v>
      </c>
      <c r="D298" t="s">
        <v>108</v>
      </c>
      <c r="E298" t="s">
        <v>24</v>
      </c>
      <c r="F298" t="s">
        <v>90</v>
      </c>
      <c r="G298" t="s">
        <v>80</v>
      </c>
      <c r="H298" t="s">
        <v>51</v>
      </c>
      <c r="I298" t="s">
        <v>119</v>
      </c>
    </row>
    <row r="299" spans="1:9" x14ac:dyDescent="0.25">
      <c r="A299" t="s">
        <v>725</v>
      </c>
      <c r="B299" t="s">
        <v>60</v>
      </c>
      <c r="C299" t="s">
        <v>69</v>
      </c>
      <c r="D299" t="s">
        <v>108</v>
      </c>
      <c r="E299" t="s">
        <v>51</v>
      </c>
      <c r="F299" t="s">
        <v>24</v>
      </c>
      <c r="G299" t="s">
        <v>80</v>
      </c>
      <c r="H299" t="s">
        <v>128</v>
      </c>
      <c r="I299" t="s">
        <v>90</v>
      </c>
    </row>
    <row r="300" spans="1:9" x14ac:dyDescent="0.25">
      <c r="A300" t="s">
        <v>726</v>
      </c>
      <c r="B300" t="s">
        <v>60</v>
      </c>
      <c r="C300" t="s">
        <v>80</v>
      </c>
      <c r="D300" t="s">
        <v>69</v>
      </c>
      <c r="E300" t="s">
        <v>24</v>
      </c>
      <c r="F300" t="s">
        <v>90</v>
      </c>
      <c r="G300" t="s">
        <v>51</v>
      </c>
      <c r="H300" t="s">
        <v>128</v>
      </c>
      <c r="I300" t="s">
        <v>119</v>
      </c>
    </row>
    <row r="301" spans="1:9" x14ac:dyDescent="0.25">
      <c r="A301" t="s">
        <v>727</v>
      </c>
      <c r="B301" t="s">
        <v>60</v>
      </c>
      <c r="C301" t="s">
        <v>69</v>
      </c>
      <c r="D301" t="s">
        <v>99</v>
      </c>
      <c r="E301" t="s">
        <v>24</v>
      </c>
      <c r="F301" t="s">
        <v>108</v>
      </c>
      <c r="G301" t="s">
        <v>80</v>
      </c>
      <c r="H301" t="s">
        <v>51</v>
      </c>
      <c r="I301" t="s">
        <v>119</v>
      </c>
    </row>
    <row r="302" spans="1:9" x14ac:dyDescent="0.25">
      <c r="A302" t="s">
        <v>728</v>
      </c>
      <c r="B302" t="s">
        <v>60</v>
      </c>
      <c r="C302" t="s">
        <v>69</v>
      </c>
      <c r="D302" t="s">
        <v>99</v>
      </c>
      <c r="E302" t="s">
        <v>51</v>
      </c>
      <c r="F302" t="s">
        <v>24</v>
      </c>
      <c r="G302" t="s">
        <v>80</v>
      </c>
      <c r="H302" t="s">
        <v>128</v>
      </c>
      <c r="I302" t="s">
        <v>108</v>
      </c>
    </row>
    <row r="303" spans="1:9" x14ac:dyDescent="0.25">
      <c r="A303" t="s">
        <v>729</v>
      </c>
      <c r="B303" t="s">
        <v>60</v>
      </c>
      <c r="C303" t="s">
        <v>69</v>
      </c>
      <c r="D303" t="s">
        <v>99</v>
      </c>
      <c r="E303" t="s">
        <v>51</v>
      </c>
      <c r="F303" t="s">
        <v>24</v>
      </c>
      <c r="G303" t="s">
        <v>80</v>
      </c>
      <c r="H303" t="s">
        <v>128</v>
      </c>
      <c r="I303" t="s">
        <v>119</v>
      </c>
    </row>
    <row r="304" spans="1:9" x14ac:dyDescent="0.25">
      <c r="A304" t="s">
        <v>730</v>
      </c>
      <c r="B304" t="s">
        <v>60</v>
      </c>
      <c r="C304" t="s">
        <v>69</v>
      </c>
      <c r="D304" t="s">
        <v>108</v>
      </c>
      <c r="E304" t="s">
        <v>51</v>
      </c>
      <c r="F304" t="s">
        <v>24</v>
      </c>
      <c r="G304" t="s">
        <v>80</v>
      </c>
      <c r="H304" t="s">
        <v>128</v>
      </c>
      <c r="I304" t="s">
        <v>119</v>
      </c>
    </row>
    <row r="305" spans="1:9" x14ac:dyDescent="0.25">
      <c r="A305" t="s">
        <v>731</v>
      </c>
      <c r="B305" t="s">
        <v>60</v>
      </c>
      <c r="C305" t="s">
        <v>69</v>
      </c>
      <c r="D305" t="s">
        <v>99</v>
      </c>
      <c r="E305" t="s">
        <v>24</v>
      </c>
      <c r="F305" t="s">
        <v>90</v>
      </c>
      <c r="G305" t="s">
        <v>51</v>
      </c>
      <c r="H305" t="s">
        <v>108</v>
      </c>
      <c r="I305" t="s">
        <v>119</v>
      </c>
    </row>
    <row r="306" spans="1:9" x14ac:dyDescent="0.25">
      <c r="A306" t="s">
        <v>732</v>
      </c>
      <c r="B306" t="s">
        <v>60</v>
      </c>
      <c r="C306" t="s">
        <v>69</v>
      </c>
      <c r="D306" t="s">
        <v>99</v>
      </c>
      <c r="E306" t="s">
        <v>24</v>
      </c>
      <c r="F306" t="s">
        <v>90</v>
      </c>
      <c r="G306" t="s">
        <v>51</v>
      </c>
      <c r="H306" t="s">
        <v>128</v>
      </c>
      <c r="I306" t="s">
        <v>108</v>
      </c>
    </row>
    <row r="307" spans="1:9" x14ac:dyDescent="0.25">
      <c r="A307" t="s">
        <v>733</v>
      </c>
      <c r="B307" t="s">
        <v>60</v>
      </c>
      <c r="C307" t="s">
        <v>69</v>
      </c>
      <c r="D307" t="s">
        <v>99</v>
      </c>
      <c r="E307" t="s">
        <v>24</v>
      </c>
      <c r="F307" t="s">
        <v>90</v>
      </c>
      <c r="G307" t="s">
        <v>51</v>
      </c>
      <c r="H307" t="s">
        <v>128</v>
      </c>
      <c r="I307" t="s">
        <v>119</v>
      </c>
    </row>
    <row r="308" spans="1:9" x14ac:dyDescent="0.25">
      <c r="A308" t="s">
        <v>734</v>
      </c>
      <c r="B308" t="s">
        <v>60</v>
      </c>
      <c r="C308" t="s">
        <v>69</v>
      </c>
      <c r="D308" t="s">
        <v>108</v>
      </c>
      <c r="E308" t="s">
        <v>24</v>
      </c>
      <c r="F308" t="s">
        <v>90</v>
      </c>
      <c r="G308" t="s">
        <v>51</v>
      </c>
      <c r="H308" t="s">
        <v>128</v>
      </c>
      <c r="I308" t="s">
        <v>119</v>
      </c>
    </row>
    <row r="309" spans="1:9" x14ac:dyDescent="0.25">
      <c r="A309" t="s">
        <v>735</v>
      </c>
      <c r="B309" t="s">
        <v>60</v>
      </c>
      <c r="C309" t="s">
        <v>69</v>
      </c>
      <c r="D309" t="s">
        <v>99</v>
      </c>
      <c r="E309" t="s">
        <v>24</v>
      </c>
      <c r="F309" t="s">
        <v>108</v>
      </c>
      <c r="G309" t="s">
        <v>51</v>
      </c>
      <c r="H309" t="s">
        <v>128</v>
      </c>
      <c r="I309" t="s">
        <v>119</v>
      </c>
    </row>
    <row r="310" spans="1:9" x14ac:dyDescent="0.25">
      <c r="A310" t="s">
        <v>736</v>
      </c>
      <c r="B310" t="s">
        <v>60</v>
      </c>
      <c r="C310" t="s">
        <v>80</v>
      </c>
      <c r="D310" t="s">
        <v>99</v>
      </c>
      <c r="E310" t="s">
        <v>24</v>
      </c>
      <c r="F310" t="s">
        <v>90</v>
      </c>
      <c r="G310" t="s">
        <v>51</v>
      </c>
      <c r="H310" t="s">
        <v>108</v>
      </c>
      <c r="I310" t="s">
        <v>119</v>
      </c>
    </row>
    <row r="311" spans="1:9" x14ac:dyDescent="0.25">
      <c r="A311" t="s">
        <v>737</v>
      </c>
      <c r="B311" t="s">
        <v>60</v>
      </c>
      <c r="C311" t="s">
        <v>80</v>
      </c>
      <c r="D311" t="s">
        <v>99</v>
      </c>
      <c r="E311" t="s">
        <v>24</v>
      </c>
      <c r="F311" t="s">
        <v>90</v>
      </c>
      <c r="G311" t="s">
        <v>51</v>
      </c>
      <c r="H311" t="s">
        <v>128</v>
      </c>
      <c r="I311" t="s">
        <v>108</v>
      </c>
    </row>
    <row r="312" spans="1:9" x14ac:dyDescent="0.25">
      <c r="A312" t="s">
        <v>738</v>
      </c>
      <c r="B312" t="s">
        <v>60</v>
      </c>
      <c r="C312" t="s">
        <v>80</v>
      </c>
      <c r="D312" t="s">
        <v>99</v>
      </c>
      <c r="E312" t="s">
        <v>24</v>
      </c>
      <c r="F312" t="s">
        <v>90</v>
      </c>
      <c r="G312" t="s">
        <v>51</v>
      </c>
      <c r="H312" t="s">
        <v>128</v>
      </c>
      <c r="I312" t="s">
        <v>119</v>
      </c>
    </row>
    <row r="313" spans="1:9" x14ac:dyDescent="0.25">
      <c r="A313" t="s">
        <v>739</v>
      </c>
      <c r="B313" t="s">
        <v>60</v>
      </c>
      <c r="C313" t="s">
        <v>80</v>
      </c>
      <c r="D313" t="s">
        <v>108</v>
      </c>
      <c r="E313" t="s">
        <v>24</v>
      </c>
      <c r="F313" t="s">
        <v>90</v>
      </c>
      <c r="G313" t="s">
        <v>51</v>
      </c>
      <c r="H313" t="s">
        <v>128</v>
      </c>
      <c r="I313" t="s">
        <v>119</v>
      </c>
    </row>
    <row r="314" spans="1:9" x14ac:dyDescent="0.25">
      <c r="A314" t="s">
        <v>740</v>
      </c>
      <c r="B314" t="s">
        <v>60</v>
      </c>
      <c r="C314" t="s">
        <v>80</v>
      </c>
      <c r="D314" t="s">
        <v>99</v>
      </c>
      <c r="E314" t="s">
        <v>24</v>
      </c>
      <c r="F314" t="s">
        <v>108</v>
      </c>
      <c r="G314" t="s">
        <v>51</v>
      </c>
      <c r="H314" t="s">
        <v>128</v>
      </c>
      <c r="I314" t="s">
        <v>119</v>
      </c>
    </row>
    <row r="315" spans="1:9" x14ac:dyDescent="0.25">
      <c r="A315" t="s">
        <v>741</v>
      </c>
      <c r="B315" t="s">
        <v>60</v>
      </c>
      <c r="C315" t="s">
        <v>99</v>
      </c>
      <c r="D315" t="s">
        <v>108</v>
      </c>
      <c r="E315" t="s">
        <v>24</v>
      </c>
      <c r="F315" t="s">
        <v>90</v>
      </c>
      <c r="G315" t="s">
        <v>51</v>
      </c>
      <c r="H315" t="s">
        <v>128</v>
      </c>
      <c r="I315" t="s">
        <v>119</v>
      </c>
    </row>
    <row r="316" spans="1:9" x14ac:dyDescent="0.25">
      <c r="A316" t="s">
        <v>742</v>
      </c>
      <c r="B316" t="s">
        <v>69</v>
      </c>
      <c r="C316" t="s">
        <v>80</v>
      </c>
      <c r="D316" t="s">
        <v>99</v>
      </c>
      <c r="E316" t="s">
        <v>24</v>
      </c>
      <c r="F316" t="s">
        <v>90</v>
      </c>
      <c r="G316" t="s">
        <v>51</v>
      </c>
      <c r="H316" t="s">
        <v>108</v>
      </c>
      <c r="I316" t="s">
        <v>119</v>
      </c>
    </row>
    <row r="317" spans="1:9" x14ac:dyDescent="0.25">
      <c r="A317" t="s">
        <v>743</v>
      </c>
      <c r="B317" t="s">
        <v>69</v>
      </c>
      <c r="C317" t="s">
        <v>80</v>
      </c>
      <c r="D317" t="s">
        <v>99</v>
      </c>
      <c r="E317" t="s">
        <v>24</v>
      </c>
      <c r="F317" t="s">
        <v>90</v>
      </c>
      <c r="G317" t="s">
        <v>51</v>
      </c>
      <c r="H317" t="s">
        <v>128</v>
      </c>
      <c r="I317" t="s">
        <v>108</v>
      </c>
    </row>
    <row r="318" spans="1:9" x14ac:dyDescent="0.25">
      <c r="A318" t="s">
        <v>744</v>
      </c>
      <c r="B318" t="s">
        <v>69</v>
      </c>
      <c r="C318" t="s">
        <v>80</v>
      </c>
      <c r="D318" t="s">
        <v>99</v>
      </c>
      <c r="E318" t="s">
        <v>24</v>
      </c>
      <c r="F318" t="s">
        <v>90</v>
      </c>
      <c r="G318" t="s">
        <v>51</v>
      </c>
      <c r="H318" t="s">
        <v>128</v>
      </c>
      <c r="I318" t="s">
        <v>119</v>
      </c>
    </row>
    <row r="319" spans="1:9" x14ac:dyDescent="0.25">
      <c r="A319" t="s">
        <v>745</v>
      </c>
      <c r="B319" t="s">
        <v>69</v>
      </c>
      <c r="C319" t="s">
        <v>80</v>
      </c>
      <c r="D319" t="s">
        <v>108</v>
      </c>
      <c r="E319" t="s">
        <v>24</v>
      </c>
      <c r="F319" t="s">
        <v>90</v>
      </c>
      <c r="G319" t="s">
        <v>51</v>
      </c>
      <c r="H319" t="s">
        <v>128</v>
      </c>
      <c r="I319" t="s">
        <v>119</v>
      </c>
    </row>
    <row r="320" spans="1:9" x14ac:dyDescent="0.25">
      <c r="A320" t="s">
        <v>746</v>
      </c>
      <c r="B320" t="s">
        <v>69</v>
      </c>
      <c r="C320" t="s">
        <v>80</v>
      </c>
      <c r="D320" t="s">
        <v>99</v>
      </c>
      <c r="E320" t="s">
        <v>24</v>
      </c>
      <c r="F320" t="s">
        <v>108</v>
      </c>
      <c r="G320" t="s">
        <v>51</v>
      </c>
      <c r="H320" t="s">
        <v>128</v>
      </c>
      <c r="I320" t="s">
        <v>119</v>
      </c>
    </row>
    <row r="321" spans="1:9" x14ac:dyDescent="0.25">
      <c r="A321" t="s">
        <v>747</v>
      </c>
      <c r="B321" t="s">
        <v>69</v>
      </c>
      <c r="C321" t="s">
        <v>99</v>
      </c>
      <c r="D321" t="s">
        <v>108</v>
      </c>
      <c r="E321" t="s">
        <v>24</v>
      </c>
      <c r="F321" t="s">
        <v>90</v>
      </c>
      <c r="G321" t="s">
        <v>51</v>
      </c>
      <c r="H321" t="s">
        <v>128</v>
      </c>
      <c r="I321" t="s">
        <v>119</v>
      </c>
    </row>
    <row r="322" spans="1:9" x14ac:dyDescent="0.25">
      <c r="A322" t="s">
        <v>748</v>
      </c>
      <c r="B322" t="s">
        <v>90</v>
      </c>
      <c r="C322" t="s">
        <v>80</v>
      </c>
      <c r="D322" t="s">
        <v>99</v>
      </c>
      <c r="E322" t="s">
        <v>24</v>
      </c>
      <c r="F322" t="s">
        <v>108</v>
      </c>
      <c r="G322" t="s">
        <v>51</v>
      </c>
      <c r="H322" t="s">
        <v>128</v>
      </c>
      <c r="I322" t="s">
        <v>119</v>
      </c>
    </row>
    <row r="323" spans="1:9" x14ac:dyDescent="0.25">
      <c r="A323" t="s">
        <v>749</v>
      </c>
      <c r="B323" t="s">
        <v>60</v>
      </c>
      <c r="C323" t="s">
        <v>69</v>
      </c>
      <c r="D323" t="s">
        <v>99</v>
      </c>
      <c r="E323" t="s">
        <v>24</v>
      </c>
      <c r="F323" t="s">
        <v>90</v>
      </c>
      <c r="G323" t="s">
        <v>80</v>
      </c>
      <c r="H323" t="s">
        <v>108</v>
      </c>
      <c r="I323" t="s">
        <v>119</v>
      </c>
    </row>
    <row r="324" spans="1:9" x14ac:dyDescent="0.25">
      <c r="A324" t="s">
        <v>750</v>
      </c>
      <c r="B324" t="s">
        <v>60</v>
      </c>
      <c r="C324" t="s">
        <v>69</v>
      </c>
      <c r="D324" t="s">
        <v>99</v>
      </c>
      <c r="E324" t="s">
        <v>24</v>
      </c>
      <c r="F324" t="s">
        <v>90</v>
      </c>
      <c r="G324" t="s">
        <v>80</v>
      </c>
      <c r="H324" t="s">
        <v>128</v>
      </c>
      <c r="I324" t="s">
        <v>108</v>
      </c>
    </row>
    <row r="325" spans="1:9" x14ac:dyDescent="0.25">
      <c r="A325" t="s">
        <v>751</v>
      </c>
      <c r="B325" t="s">
        <v>60</v>
      </c>
      <c r="C325" t="s">
        <v>69</v>
      </c>
      <c r="D325" t="s">
        <v>99</v>
      </c>
      <c r="E325" t="s">
        <v>24</v>
      </c>
      <c r="F325" t="s">
        <v>90</v>
      </c>
      <c r="G325" t="s">
        <v>80</v>
      </c>
      <c r="H325" t="s">
        <v>128</v>
      </c>
      <c r="I325" t="s">
        <v>119</v>
      </c>
    </row>
    <row r="326" spans="1:9" x14ac:dyDescent="0.25">
      <c r="A326" t="s">
        <v>752</v>
      </c>
      <c r="B326" t="s">
        <v>60</v>
      </c>
      <c r="C326" t="s">
        <v>69</v>
      </c>
      <c r="D326" t="s">
        <v>108</v>
      </c>
      <c r="E326" t="s">
        <v>24</v>
      </c>
      <c r="F326" t="s">
        <v>90</v>
      </c>
      <c r="G326" t="s">
        <v>80</v>
      </c>
      <c r="H326" t="s">
        <v>128</v>
      </c>
      <c r="I326" t="s">
        <v>119</v>
      </c>
    </row>
    <row r="327" spans="1:9" x14ac:dyDescent="0.25">
      <c r="A327" t="s">
        <v>753</v>
      </c>
      <c r="B327" t="s">
        <v>60</v>
      </c>
      <c r="C327" t="s">
        <v>69</v>
      </c>
      <c r="D327" t="s">
        <v>99</v>
      </c>
      <c r="E327" t="s">
        <v>24</v>
      </c>
      <c r="F327" t="s">
        <v>108</v>
      </c>
      <c r="G327" t="s">
        <v>80</v>
      </c>
      <c r="H327" t="s">
        <v>128</v>
      </c>
      <c r="I327" t="s">
        <v>119</v>
      </c>
    </row>
    <row r="328" spans="1:9" x14ac:dyDescent="0.25">
      <c r="A328" t="s">
        <v>754</v>
      </c>
      <c r="B328" t="s">
        <v>60</v>
      </c>
      <c r="C328" t="s">
        <v>69</v>
      </c>
      <c r="D328" t="s">
        <v>99</v>
      </c>
      <c r="E328" t="s">
        <v>24</v>
      </c>
      <c r="F328" t="s">
        <v>108</v>
      </c>
      <c r="G328" t="s">
        <v>90</v>
      </c>
      <c r="H328" t="s">
        <v>128</v>
      </c>
      <c r="I328" t="s">
        <v>119</v>
      </c>
    </row>
    <row r="329" spans="1:9" x14ac:dyDescent="0.25">
      <c r="A329" t="s">
        <v>755</v>
      </c>
      <c r="B329" t="s">
        <v>60</v>
      </c>
      <c r="C329" t="s">
        <v>80</v>
      </c>
      <c r="D329" t="s">
        <v>99</v>
      </c>
      <c r="E329" t="s">
        <v>24</v>
      </c>
      <c r="F329" t="s">
        <v>108</v>
      </c>
      <c r="G329" t="s">
        <v>90</v>
      </c>
      <c r="H329" t="s">
        <v>128</v>
      </c>
      <c r="I329" t="s">
        <v>119</v>
      </c>
    </row>
    <row r="330" spans="1:9" x14ac:dyDescent="0.25">
      <c r="A330" t="s">
        <v>756</v>
      </c>
      <c r="B330" t="s">
        <v>69</v>
      </c>
      <c r="C330" t="s">
        <v>80</v>
      </c>
      <c r="D330" t="s">
        <v>99</v>
      </c>
      <c r="E330" t="s">
        <v>24</v>
      </c>
      <c r="F330" t="s">
        <v>108</v>
      </c>
      <c r="G330" t="s">
        <v>90</v>
      </c>
      <c r="H330" t="s">
        <v>128</v>
      </c>
      <c r="I330" t="s">
        <v>119</v>
      </c>
    </row>
    <row r="331" spans="1:9" x14ac:dyDescent="0.25">
      <c r="A331" t="s">
        <v>757</v>
      </c>
      <c r="B331" t="s">
        <v>42</v>
      </c>
      <c r="C331" t="s">
        <v>60</v>
      </c>
      <c r="D331" t="s">
        <v>31</v>
      </c>
      <c r="E331" t="s">
        <v>69</v>
      </c>
      <c r="F331" t="s">
        <v>90</v>
      </c>
      <c r="G331" t="s">
        <v>80</v>
      </c>
      <c r="H331" t="s">
        <v>51</v>
      </c>
      <c r="I331" t="s">
        <v>99</v>
      </c>
    </row>
    <row r="332" spans="1:9" x14ac:dyDescent="0.25">
      <c r="A332" t="s">
        <v>758</v>
      </c>
      <c r="B332" t="s">
        <v>42</v>
      </c>
      <c r="C332" t="s">
        <v>60</v>
      </c>
      <c r="D332" t="s">
        <v>31</v>
      </c>
      <c r="E332" t="s">
        <v>69</v>
      </c>
      <c r="F332" t="s">
        <v>90</v>
      </c>
      <c r="G332" t="s">
        <v>80</v>
      </c>
      <c r="H332" t="s">
        <v>51</v>
      </c>
      <c r="I332" t="s">
        <v>108</v>
      </c>
    </row>
    <row r="333" spans="1:9" x14ac:dyDescent="0.25">
      <c r="A333" t="s">
        <v>759</v>
      </c>
      <c r="B333" t="s">
        <v>42</v>
      </c>
      <c r="C333" t="s">
        <v>60</v>
      </c>
      <c r="D333" t="s">
        <v>31</v>
      </c>
      <c r="E333" t="s">
        <v>69</v>
      </c>
      <c r="F333" t="s">
        <v>90</v>
      </c>
      <c r="G333" t="s">
        <v>80</v>
      </c>
      <c r="H333" t="s">
        <v>51</v>
      </c>
      <c r="I333" t="s">
        <v>119</v>
      </c>
    </row>
    <row r="334" spans="1:9" x14ac:dyDescent="0.25">
      <c r="A334" t="s">
        <v>760</v>
      </c>
      <c r="B334" t="s">
        <v>42</v>
      </c>
      <c r="C334" t="s">
        <v>69</v>
      </c>
      <c r="D334" t="s">
        <v>31</v>
      </c>
      <c r="E334" t="s">
        <v>51</v>
      </c>
      <c r="F334" t="s">
        <v>60</v>
      </c>
      <c r="G334" t="s">
        <v>80</v>
      </c>
      <c r="H334" t="s">
        <v>128</v>
      </c>
      <c r="I334" t="s">
        <v>90</v>
      </c>
    </row>
    <row r="335" spans="1:9" x14ac:dyDescent="0.25">
      <c r="A335" t="s">
        <v>761</v>
      </c>
      <c r="B335" t="s">
        <v>42</v>
      </c>
      <c r="C335" t="s">
        <v>60</v>
      </c>
      <c r="D335" t="s">
        <v>31</v>
      </c>
      <c r="E335" t="s">
        <v>69</v>
      </c>
      <c r="F335" t="s">
        <v>99</v>
      </c>
      <c r="G335" t="s">
        <v>80</v>
      </c>
      <c r="H335" t="s">
        <v>51</v>
      </c>
      <c r="I335" t="s">
        <v>108</v>
      </c>
    </row>
    <row r="336" spans="1:9" x14ac:dyDescent="0.25">
      <c r="A336" t="s">
        <v>762</v>
      </c>
      <c r="B336" t="s">
        <v>42</v>
      </c>
      <c r="C336" t="s">
        <v>60</v>
      </c>
      <c r="D336" t="s">
        <v>31</v>
      </c>
      <c r="E336" t="s">
        <v>69</v>
      </c>
      <c r="F336" t="s">
        <v>99</v>
      </c>
      <c r="G336" t="s">
        <v>80</v>
      </c>
      <c r="H336" t="s">
        <v>51</v>
      </c>
      <c r="I336" t="s">
        <v>119</v>
      </c>
    </row>
    <row r="337" spans="1:9" x14ac:dyDescent="0.25">
      <c r="A337" t="s">
        <v>763</v>
      </c>
      <c r="B337" t="s">
        <v>42</v>
      </c>
      <c r="C337" t="s">
        <v>69</v>
      </c>
      <c r="D337" t="s">
        <v>31</v>
      </c>
      <c r="E337" t="s">
        <v>51</v>
      </c>
      <c r="F337" t="s">
        <v>60</v>
      </c>
      <c r="G337" t="s">
        <v>80</v>
      </c>
      <c r="H337" t="s">
        <v>128</v>
      </c>
      <c r="I337" t="s">
        <v>99</v>
      </c>
    </row>
    <row r="338" spans="1:9" x14ac:dyDescent="0.25">
      <c r="A338" t="s">
        <v>764</v>
      </c>
      <c r="B338" t="s">
        <v>42</v>
      </c>
      <c r="C338" t="s">
        <v>60</v>
      </c>
      <c r="D338" t="s">
        <v>31</v>
      </c>
      <c r="E338" t="s">
        <v>69</v>
      </c>
      <c r="F338" t="s">
        <v>108</v>
      </c>
      <c r="G338" t="s">
        <v>80</v>
      </c>
      <c r="H338" t="s">
        <v>51</v>
      </c>
      <c r="I338" t="s">
        <v>119</v>
      </c>
    </row>
    <row r="339" spans="1:9" x14ac:dyDescent="0.25">
      <c r="A339" t="s">
        <v>765</v>
      </c>
      <c r="B339" t="s">
        <v>42</v>
      </c>
      <c r="C339" t="s">
        <v>69</v>
      </c>
      <c r="D339" t="s">
        <v>31</v>
      </c>
      <c r="E339" t="s">
        <v>51</v>
      </c>
      <c r="F339" t="s">
        <v>60</v>
      </c>
      <c r="G339" t="s">
        <v>80</v>
      </c>
      <c r="H339" t="s">
        <v>128</v>
      </c>
      <c r="I339" t="s">
        <v>108</v>
      </c>
    </row>
    <row r="340" spans="1:9" x14ac:dyDescent="0.25">
      <c r="A340" t="s">
        <v>766</v>
      </c>
      <c r="B340" t="s">
        <v>42</v>
      </c>
      <c r="C340" t="s">
        <v>69</v>
      </c>
      <c r="D340" t="s">
        <v>31</v>
      </c>
      <c r="E340" t="s">
        <v>51</v>
      </c>
      <c r="F340" t="s">
        <v>60</v>
      </c>
      <c r="G340" t="s">
        <v>80</v>
      </c>
      <c r="H340" t="s">
        <v>128</v>
      </c>
      <c r="I340" t="s">
        <v>119</v>
      </c>
    </row>
    <row r="341" spans="1:9" x14ac:dyDescent="0.25">
      <c r="A341" t="s">
        <v>767</v>
      </c>
      <c r="B341" t="s">
        <v>42</v>
      </c>
      <c r="C341" t="s">
        <v>60</v>
      </c>
      <c r="D341" t="s">
        <v>31</v>
      </c>
      <c r="E341" t="s">
        <v>51</v>
      </c>
      <c r="F341" t="s">
        <v>90</v>
      </c>
      <c r="G341" t="s">
        <v>69</v>
      </c>
      <c r="H341" t="s">
        <v>99</v>
      </c>
      <c r="I341" t="s">
        <v>108</v>
      </c>
    </row>
    <row r="342" spans="1:9" x14ac:dyDescent="0.25">
      <c r="A342" t="s">
        <v>768</v>
      </c>
      <c r="B342" t="s">
        <v>42</v>
      </c>
      <c r="C342" t="s">
        <v>60</v>
      </c>
      <c r="D342" t="s">
        <v>31</v>
      </c>
      <c r="E342" t="s">
        <v>51</v>
      </c>
      <c r="F342" t="s">
        <v>90</v>
      </c>
      <c r="G342" t="s">
        <v>69</v>
      </c>
      <c r="H342" t="s">
        <v>99</v>
      </c>
      <c r="I342" t="s">
        <v>119</v>
      </c>
    </row>
    <row r="343" spans="1:9" x14ac:dyDescent="0.25">
      <c r="A343" t="s">
        <v>769</v>
      </c>
      <c r="B343" t="s">
        <v>42</v>
      </c>
      <c r="C343" t="s">
        <v>60</v>
      </c>
      <c r="D343" t="s">
        <v>31</v>
      </c>
      <c r="E343" t="s">
        <v>51</v>
      </c>
      <c r="F343" t="s">
        <v>90</v>
      </c>
      <c r="G343" t="s">
        <v>69</v>
      </c>
      <c r="H343" t="s">
        <v>128</v>
      </c>
      <c r="I343" t="s">
        <v>99</v>
      </c>
    </row>
    <row r="344" spans="1:9" x14ac:dyDescent="0.25">
      <c r="A344" t="s">
        <v>770</v>
      </c>
      <c r="B344" t="s">
        <v>42</v>
      </c>
      <c r="C344" t="s">
        <v>60</v>
      </c>
      <c r="D344" t="s">
        <v>31</v>
      </c>
      <c r="E344" t="s">
        <v>51</v>
      </c>
      <c r="F344" t="s">
        <v>90</v>
      </c>
      <c r="G344" t="s">
        <v>69</v>
      </c>
      <c r="H344" t="s">
        <v>108</v>
      </c>
      <c r="I344" t="s">
        <v>119</v>
      </c>
    </row>
    <row r="345" spans="1:9" x14ac:dyDescent="0.25">
      <c r="A345" t="s">
        <v>771</v>
      </c>
      <c r="B345" t="s">
        <v>42</v>
      </c>
      <c r="C345" t="s">
        <v>60</v>
      </c>
      <c r="D345" t="s">
        <v>31</v>
      </c>
      <c r="E345" t="s">
        <v>51</v>
      </c>
      <c r="F345" t="s">
        <v>90</v>
      </c>
      <c r="G345" t="s">
        <v>69</v>
      </c>
      <c r="H345" t="s">
        <v>128</v>
      </c>
      <c r="I345" t="s">
        <v>108</v>
      </c>
    </row>
    <row r="346" spans="1:9" x14ac:dyDescent="0.25">
      <c r="A346" t="s">
        <v>772</v>
      </c>
      <c r="B346" t="s">
        <v>42</v>
      </c>
      <c r="C346" t="s">
        <v>60</v>
      </c>
      <c r="D346" t="s">
        <v>31</v>
      </c>
      <c r="E346" t="s">
        <v>51</v>
      </c>
      <c r="F346" t="s">
        <v>90</v>
      </c>
      <c r="G346" t="s">
        <v>69</v>
      </c>
      <c r="H346" t="s">
        <v>128</v>
      </c>
      <c r="I346" t="s">
        <v>119</v>
      </c>
    </row>
    <row r="347" spans="1:9" x14ac:dyDescent="0.25">
      <c r="A347" t="s">
        <v>773</v>
      </c>
      <c r="B347" t="s">
        <v>42</v>
      </c>
      <c r="C347" t="s">
        <v>60</v>
      </c>
      <c r="D347" t="s">
        <v>31</v>
      </c>
      <c r="E347" t="s">
        <v>51</v>
      </c>
      <c r="F347" t="s">
        <v>99</v>
      </c>
      <c r="G347" t="s">
        <v>69</v>
      </c>
      <c r="H347" t="s">
        <v>108</v>
      </c>
      <c r="I347" t="s">
        <v>119</v>
      </c>
    </row>
    <row r="348" spans="1:9" x14ac:dyDescent="0.25">
      <c r="A348" t="s">
        <v>774</v>
      </c>
      <c r="B348" t="s">
        <v>42</v>
      </c>
      <c r="C348" t="s">
        <v>60</v>
      </c>
      <c r="D348" t="s">
        <v>31</v>
      </c>
      <c r="E348" t="s">
        <v>51</v>
      </c>
      <c r="F348" t="s">
        <v>99</v>
      </c>
      <c r="G348" t="s">
        <v>69</v>
      </c>
      <c r="H348" t="s">
        <v>128</v>
      </c>
      <c r="I348" t="s">
        <v>108</v>
      </c>
    </row>
    <row r="349" spans="1:9" x14ac:dyDescent="0.25">
      <c r="A349" t="s">
        <v>775</v>
      </c>
      <c r="B349" t="s">
        <v>42</v>
      </c>
      <c r="C349" t="s">
        <v>60</v>
      </c>
      <c r="D349" t="s">
        <v>31</v>
      </c>
      <c r="E349" t="s">
        <v>51</v>
      </c>
      <c r="F349" t="s">
        <v>99</v>
      </c>
      <c r="G349" t="s">
        <v>69</v>
      </c>
      <c r="H349" t="s">
        <v>128</v>
      </c>
      <c r="I349" t="s">
        <v>119</v>
      </c>
    </row>
    <row r="350" spans="1:9" x14ac:dyDescent="0.25">
      <c r="A350" t="s">
        <v>776</v>
      </c>
      <c r="B350" t="s">
        <v>42</v>
      </c>
      <c r="C350" t="s">
        <v>60</v>
      </c>
      <c r="D350" t="s">
        <v>31</v>
      </c>
      <c r="E350" t="s">
        <v>51</v>
      </c>
      <c r="F350" t="s">
        <v>108</v>
      </c>
      <c r="G350" t="s">
        <v>69</v>
      </c>
      <c r="H350" t="s">
        <v>128</v>
      </c>
      <c r="I350" t="s">
        <v>119</v>
      </c>
    </row>
    <row r="351" spans="1:9" x14ac:dyDescent="0.25">
      <c r="A351" t="s">
        <v>777</v>
      </c>
      <c r="B351" t="s">
        <v>42</v>
      </c>
      <c r="C351" t="s">
        <v>60</v>
      </c>
      <c r="D351" t="s">
        <v>31</v>
      </c>
      <c r="E351" t="s">
        <v>51</v>
      </c>
      <c r="F351" t="s">
        <v>90</v>
      </c>
      <c r="G351" t="s">
        <v>80</v>
      </c>
      <c r="H351" t="s">
        <v>99</v>
      </c>
      <c r="I351" t="s">
        <v>108</v>
      </c>
    </row>
    <row r="352" spans="1:9" x14ac:dyDescent="0.25">
      <c r="A352" t="s">
        <v>778</v>
      </c>
      <c r="B352" t="s">
        <v>42</v>
      </c>
      <c r="C352" t="s">
        <v>60</v>
      </c>
      <c r="D352" t="s">
        <v>31</v>
      </c>
      <c r="E352" t="s">
        <v>51</v>
      </c>
      <c r="F352" t="s">
        <v>90</v>
      </c>
      <c r="G352" t="s">
        <v>80</v>
      </c>
      <c r="H352" t="s">
        <v>99</v>
      </c>
      <c r="I352" t="s">
        <v>119</v>
      </c>
    </row>
    <row r="353" spans="1:9" x14ac:dyDescent="0.25">
      <c r="A353" t="s">
        <v>779</v>
      </c>
      <c r="B353" t="s">
        <v>42</v>
      </c>
      <c r="C353" t="s">
        <v>60</v>
      </c>
      <c r="D353" t="s">
        <v>31</v>
      </c>
      <c r="E353" t="s">
        <v>51</v>
      </c>
      <c r="F353" t="s">
        <v>90</v>
      </c>
      <c r="G353" t="s">
        <v>80</v>
      </c>
      <c r="H353" t="s">
        <v>128</v>
      </c>
      <c r="I353" t="s">
        <v>99</v>
      </c>
    </row>
    <row r="354" spans="1:9" x14ac:dyDescent="0.25">
      <c r="A354" t="s">
        <v>780</v>
      </c>
      <c r="B354" t="s">
        <v>42</v>
      </c>
      <c r="C354" t="s">
        <v>60</v>
      </c>
      <c r="D354" t="s">
        <v>31</v>
      </c>
      <c r="E354" t="s">
        <v>51</v>
      </c>
      <c r="F354" t="s">
        <v>90</v>
      </c>
      <c r="G354" t="s">
        <v>80</v>
      </c>
      <c r="H354" t="s">
        <v>108</v>
      </c>
      <c r="I354" t="s">
        <v>119</v>
      </c>
    </row>
    <row r="355" spans="1:9" x14ac:dyDescent="0.25">
      <c r="A355" t="s">
        <v>781</v>
      </c>
      <c r="B355" t="s">
        <v>42</v>
      </c>
      <c r="C355" t="s">
        <v>60</v>
      </c>
      <c r="D355" t="s">
        <v>31</v>
      </c>
      <c r="E355" t="s">
        <v>51</v>
      </c>
      <c r="F355" t="s">
        <v>90</v>
      </c>
      <c r="G355" t="s">
        <v>80</v>
      </c>
      <c r="H355" t="s">
        <v>128</v>
      </c>
      <c r="I355" t="s">
        <v>108</v>
      </c>
    </row>
    <row r="356" spans="1:9" x14ac:dyDescent="0.25">
      <c r="A356" t="s">
        <v>782</v>
      </c>
      <c r="B356" t="s">
        <v>42</v>
      </c>
      <c r="C356" t="s">
        <v>60</v>
      </c>
      <c r="D356" t="s">
        <v>31</v>
      </c>
      <c r="E356" t="s">
        <v>51</v>
      </c>
      <c r="F356" t="s">
        <v>90</v>
      </c>
      <c r="G356" t="s">
        <v>80</v>
      </c>
      <c r="H356" t="s">
        <v>128</v>
      </c>
      <c r="I356" t="s">
        <v>119</v>
      </c>
    </row>
    <row r="357" spans="1:9" x14ac:dyDescent="0.25">
      <c r="A357" t="s">
        <v>783</v>
      </c>
      <c r="B357" t="s">
        <v>42</v>
      </c>
      <c r="C357" t="s">
        <v>60</v>
      </c>
      <c r="D357" t="s">
        <v>31</v>
      </c>
      <c r="E357" t="s">
        <v>51</v>
      </c>
      <c r="F357" t="s">
        <v>99</v>
      </c>
      <c r="G357" t="s">
        <v>80</v>
      </c>
      <c r="H357" t="s">
        <v>108</v>
      </c>
      <c r="I357" t="s">
        <v>119</v>
      </c>
    </row>
    <row r="358" spans="1:9" x14ac:dyDescent="0.25">
      <c r="A358" t="s">
        <v>784</v>
      </c>
      <c r="B358" t="s">
        <v>42</v>
      </c>
      <c r="C358" t="s">
        <v>60</v>
      </c>
      <c r="D358" t="s">
        <v>31</v>
      </c>
      <c r="E358" t="s">
        <v>51</v>
      </c>
      <c r="F358" t="s">
        <v>99</v>
      </c>
      <c r="G358" t="s">
        <v>80</v>
      </c>
      <c r="H358" t="s">
        <v>128</v>
      </c>
      <c r="I358" t="s">
        <v>108</v>
      </c>
    </row>
    <row r="359" spans="1:9" x14ac:dyDescent="0.25">
      <c r="A359" t="s">
        <v>785</v>
      </c>
      <c r="B359" t="s">
        <v>42</v>
      </c>
      <c r="C359" t="s">
        <v>60</v>
      </c>
      <c r="D359" t="s">
        <v>31</v>
      </c>
      <c r="E359" t="s">
        <v>51</v>
      </c>
      <c r="F359" t="s">
        <v>99</v>
      </c>
      <c r="G359" t="s">
        <v>80</v>
      </c>
      <c r="H359" t="s">
        <v>128</v>
      </c>
      <c r="I359" t="s">
        <v>119</v>
      </c>
    </row>
    <row r="360" spans="1:9" x14ac:dyDescent="0.25">
      <c r="A360" t="s">
        <v>786</v>
      </c>
      <c r="B360" t="s">
        <v>42</v>
      </c>
      <c r="C360" t="s">
        <v>60</v>
      </c>
      <c r="D360" t="s">
        <v>31</v>
      </c>
      <c r="E360" t="s">
        <v>51</v>
      </c>
      <c r="F360" t="s">
        <v>108</v>
      </c>
      <c r="G360" t="s">
        <v>80</v>
      </c>
      <c r="H360" t="s">
        <v>128</v>
      </c>
      <c r="I360" t="s">
        <v>119</v>
      </c>
    </row>
    <row r="361" spans="1:9" x14ac:dyDescent="0.25">
      <c r="A361" t="s">
        <v>787</v>
      </c>
      <c r="B361" t="s">
        <v>42</v>
      </c>
      <c r="C361" t="s">
        <v>60</v>
      </c>
      <c r="D361" t="s">
        <v>31</v>
      </c>
      <c r="E361" t="s">
        <v>51</v>
      </c>
      <c r="F361" t="s">
        <v>99</v>
      </c>
      <c r="G361" t="s">
        <v>90</v>
      </c>
      <c r="H361" t="s">
        <v>108</v>
      </c>
      <c r="I361" t="s">
        <v>119</v>
      </c>
    </row>
    <row r="362" spans="1:9" x14ac:dyDescent="0.25">
      <c r="A362" t="s">
        <v>788</v>
      </c>
      <c r="B362" t="s">
        <v>42</v>
      </c>
      <c r="C362" t="s">
        <v>60</v>
      </c>
      <c r="D362" t="s">
        <v>31</v>
      </c>
      <c r="E362" t="s">
        <v>51</v>
      </c>
      <c r="F362" t="s">
        <v>99</v>
      </c>
      <c r="G362" t="s">
        <v>90</v>
      </c>
      <c r="H362" t="s">
        <v>128</v>
      </c>
      <c r="I362" t="s">
        <v>108</v>
      </c>
    </row>
    <row r="363" spans="1:9" x14ac:dyDescent="0.25">
      <c r="A363" t="s">
        <v>789</v>
      </c>
      <c r="B363" t="s">
        <v>42</v>
      </c>
      <c r="C363" t="s">
        <v>60</v>
      </c>
      <c r="D363" t="s">
        <v>31</v>
      </c>
      <c r="E363" t="s">
        <v>51</v>
      </c>
      <c r="F363" t="s">
        <v>99</v>
      </c>
      <c r="G363" t="s">
        <v>90</v>
      </c>
      <c r="H363" t="s">
        <v>128</v>
      </c>
      <c r="I363" t="s">
        <v>119</v>
      </c>
    </row>
    <row r="364" spans="1:9" x14ac:dyDescent="0.25">
      <c r="A364" t="s">
        <v>790</v>
      </c>
      <c r="B364" t="s">
        <v>42</v>
      </c>
      <c r="C364" t="s">
        <v>60</v>
      </c>
      <c r="D364" t="s">
        <v>31</v>
      </c>
      <c r="E364" t="s">
        <v>51</v>
      </c>
      <c r="F364" t="s">
        <v>108</v>
      </c>
      <c r="G364" t="s">
        <v>90</v>
      </c>
      <c r="H364" t="s">
        <v>128</v>
      </c>
      <c r="I364" t="s">
        <v>119</v>
      </c>
    </row>
    <row r="365" spans="1:9" x14ac:dyDescent="0.25">
      <c r="A365" t="s">
        <v>791</v>
      </c>
      <c r="B365" t="s">
        <v>42</v>
      </c>
      <c r="C365" t="s">
        <v>60</v>
      </c>
      <c r="D365" t="s">
        <v>99</v>
      </c>
      <c r="E365" t="s">
        <v>31</v>
      </c>
      <c r="F365" t="s">
        <v>108</v>
      </c>
      <c r="G365" t="s">
        <v>51</v>
      </c>
      <c r="H365" t="s">
        <v>128</v>
      </c>
      <c r="I365" t="s">
        <v>119</v>
      </c>
    </row>
    <row r="366" spans="1:9" x14ac:dyDescent="0.25">
      <c r="A366" t="s">
        <v>792</v>
      </c>
      <c r="B366" t="s">
        <v>42</v>
      </c>
      <c r="C366" t="s">
        <v>69</v>
      </c>
      <c r="D366" t="s">
        <v>31</v>
      </c>
      <c r="E366" t="s">
        <v>51</v>
      </c>
      <c r="F366" t="s">
        <v>90</v>
      </c>
      <c r="G366" t="s">
        <v>80</v>
      </c>
      <c r="H366" t="s">
        <v>99</v>
      </c>
      <c r="I366" t="s">
        <v>108</v>
      </c>
    </row>
    <row r="367" spans="1:9" x14ac:dyDescent="0.25">
      <c r="A367" t="s">
        <v>793</v>
      </c>
      <c r="B367" t="s">
        <v>42</v>
      </c>
      <c r="C367" t="s">
        <v>69</v>
      </c>
      <c r="D367" t="s">
        <v>31</v>
      </c>
      <c r="E367" t="s">
        <v>51</v>
      </c>
      <c r="F367" t="s">
        <v>90</v>
      </c>
      <c r="G367" t="s">
        <v>80</v>
      </c>
      <c r="H367" t="s">
        <v>99</v>
      </c>
      <c r="I367" t="s">
        <v>119</v>
      </c>
    </row>
    <row r="368" spans="1:9" x14ac:dyDescent="0.25">
      <c r="A368" t="s">
        <v>794</v>
      </c>
      <c r="B368" t="s">
        <v>42</v>
      </c>
      <c r="C368" t="s">
        <v>69</v>
      </c>
      <c r="D368" t="s">
        <v>31</v>
      </c>
      <c r="E368" t="s">
        <v>51</v>
      </c>
      <c r="F368" t="s">
        <v>90</v>
      </c>
      <c r="G368" t="s">
        <v>80</v>
      </c>
      <c r="H368" t="s">
        <v>128</v>
      </c>
      <c r="I368" t="s">
        <v>99</v>
      </c>
    </row>
    <row r="369" spans="1:9" x14ac:dyDescent="0.25">
      <c r="A369" t="s">
        <v>795</v>
      </c>
      <c r="B369" t="s">
        <v>42</v>
      </c>
      <c r="C369" t="s">
        <v>69</v>
      </c>
      <c r="D369" t="s">
        <v>31</v>
      </c>
      <c r="E369" t="s">
        <v>51</v>
      </c>
      <c r="F369" t="s">
        <v>90</v>
      </c>
      <c r="G369" t="s">
        <v>80</v>
      </c>
      <c r="H369" t="s">
        <v>108</v>
      </c>
      <c r="I369" t="s">
        <v>119</v>
      </c>
    </row>
    <row r="370" spans="1:9" x14ac:dyDescent="0.25">
      <c r="A370" t="s">
        <v>796</v>
      </c>
      <c r="B370" t="s">
        <v>42</v>
      </c>
      <c r="C370" t="s">
        <v>69</v>
      </c>
      <c r="D370" t="s">
        <v>31</v>
      </c>
      <c r="E370" t="s">
        <v>51</v>
      </c>
      <c r="F370" t="s">
        <v>90</v>
      </c>
      <c r="G370" t="s">
        <v>80</v>
      </c>
      <c r="H370" t="s">
        <v>128</v>
      </c>
      <c r="I370" t="s">
        <v>108</v>
      </c>
    </row>
    <row r="371" spans="1:9" x14ac:dyDescent="0.25">
      <c r="A371" t="s">
        <v>797</v>
      </c>
      <c r="B371" t="s">
        <v>42</v>
      </c>
      <c r="C371" t="s">
        <v>69</v>
      </c>
      <c r="D371" t="s">
        <v>31</v>
      </c>
      <c r="E371" t="s">
        <v>51</v>
      </c>
      <c r="F371" t="s">
        <v>90</v>
      </c>
      <c r="G371" t="s">
        <v>80</v>
      </c>
      <c r="H371" t="s">
        <v>128</v>
      </c>
      <c r="I371" t="s">
        <v>119</v>
      </c>
    </row>
    <row r="372" spans="1:9" x14ac:dyDescent="0.25">
      <c r="A372" t="s">
        <v>798</v>
      </c>
      <c r="B372" t="s">
        <v>42</v>
      </c>
      <c r="C372" t="s">
        <v>69</v>
      </c>
      <c r="D372" t="s">
        <v>31</v>
      </c>
      <c r="E372" t="s">
        <v>51</v>
      </c>
      <c r="F372" t="s">
        <v>99</v>
      </c>
      <c r="G372" t="s">
        <v>80</v>
      </c>
      <c r="H372" t="s">
        <v>108</v>
      </c>
      <c r="I372" t="s">
        <v>119</v>
      </c>
    </row>
    <row r="373" spans="1:9" x14ac:dyDescent="0.25">
      <c r="A373" t="s">
        <v>799</v>
      </c>
      <c r="B373" t="s">
        <v>42</v>
      </c>
      <c r="C373" t="s">
        <v>69</v>
      </c>
      <c r="D373" t="s">
        <v>31</v>
      </c>
      <c r="E373" t="s">
        <v>51</v>
      </c>
      <c r="F373" t="s">
        <v>99</v>
      </c>
      <c r="G373" t="s">
        <v>80</v>
      </c>
      <c r="H373" t="s">
        <v>128</v>
      </c>
      <c r="I373" t="s">
        <v>108</v>
      </c>
    </row>
    <row r="374" spans="1:9" x14ac:dyDescent="0.25">
      <c r="A374" t="s">
        <v>800</v>
      </c>
      <c r="B374" t="s">
        <v>42</v>
      </c>
      <c r="C374" t="s">
        <v>69</v>
      </c>
      <c r="D374" t="s">
        <v>31</v>
      </c>
      <c r="E374" t="s">
        <v>51</v>
      </c>
      <c r="F374" t="s">
        <v>99</v>
      </c>
      <c r="G374" t="s">
        <v>80</v>
      </c>
      <c r="H374" t="s">
        <v>128</v>
      </c>
      <c r="I374" t="s">
        <v>119</v>
      </c>
    </row>
    <row r="375" spans="1:9" x14ac:dyDescent="0.25">
      <c r="A375" t="s">
        <v>801</v>
      </c>
      <c r="B375" t="s">
        <v>42</v>
      </c>
      <c r="C375" t="s">
        <v>69</v>
      </c>
      <c r="D375" t="s">
        <v>31</v>
      </c>
      <c r="E375" t="s">
        <v>51</v>
      </c>
      <c r="F375" t="s">
        <v>108</v>
      </c>
      <c r="G375" t="s">
        <v>80</v>
      </c>
      <c r="H375" t="s">
        <v>128</v>
      </c>
      <c r="I375" t="s">
        <v>119</v>
      </c>
    </row>
    <row r="376" spans="1:9" x14ac:dyDescent="0.25">
      <c r="A376" t="s">
        <v>802</v>
      </c>
      <c r="B376" t="s">
        <v>42</v>
      </c>
      <c r="C376" t="s">
        <v>69</v>
      </c>
      <c r="D376" t="s">
        <v>31</v>
      </c>
      <c r="E376" t="s">
        <v>51</v>
      </c>
      <c r="F376" t="s">
        <v>99</v>
      </c>
      <c r="G376" t="s">
        <v>90</v>
      </c>
      <c r="H376" t="s">
        <v>108</v>
      </c>
      <c r="I376" t="s">
        <v>119</v>
      </c>
    </row>
    <row r="377" spans="1:9" x14ac:dyDescent="0.25">
      <c r="A377" t="s">
        <v>803</v>
      </c>
      <c r="B377" t="s">
        <v>42</v>
      </c>
      <c r="C377" t="s">
        <v>69</v>
      </c>
      <c r="D377" t="s">
        <v>31</v>
      </c>
      <c r="E377" t="s">
        <v>51</v>
      </c>
      <c r="F377" t="s">
        <v>99</v>
      </c>
      <c r="G377" t="s">
        <v>90</v>
      </c>
      <c r="H377" t="s">
        <v>128</v>
      </c>
      <c r="I377" t="s">
        <v>108</v>
      </c>
    </row>
    <row r="378" spans="1:9" x14ac:dyDescent="0.25">
      <c r="A378" t="s">
        <v>804</v>
      </c>
      <c r="B378" t="s">
        <v>42</v>
      </c>
      <c r="C378" t="s">
        <v>69</v>
      </c>
      <c r="D378" t="s">
        <v>31</v>
      </c>
      <c r="E378" t="s">
        <v>51</v>
      </c>
      <c r="F378" t="s">
        <v>99</v>
      </c>
      <c r="G378" t="s">
        <v>90</v>
      </c>
      <c r="H378" t="s">
        <v>128</v>
      </c>
      <c r="I378" t="s">
        <v>119</v>
      </c>
    </row>
    <row r="379" spans="1:9" x14ac:dyDescent="0.25">
      <c r="A379" t="s">
        <v>805</v>
      </c>
      <c r="B379" t="s">
        <v>42</v>
      </c>
      <c r="C379" t="s">
        <v>69</v>
      </c>
      <c r="D379" t="s">
        <v>31</v>
      </c>
      <c r="E379" t="s">
        <v>51</v>
      </c>
      <c r="F379" t="s">
        <v>108</v>
      </c>
      <c r="G379" t="s">
        <v>90</v>
      </c>
      <c r="H379" t="s">
        <v>128</v>
      </c>
      <c r="I379" t="s">
        <v>119</v>
      </c>
    </row>
    <row r="380" spans="1:9" x14ac:dyDescent="0.25">
      <c r="A380" t="s">
        <v>806</v>
      </c>
      <c r="B380" t="s">
        <v>42</v>
      </c>
      <c r="C380" t="s">
        <v>69</v>
      </c>
      <c r="D380" t="s">
        <v>99</v>
      </c>
      <c r="E380" t="s">
        <v>31</v>
      </c>
      <c r="F380" t="s">
        <v>108</v>
      </c>
      <c r="G380" t="s">
        <v>51</v>
      </c>
      <c r="H380" t="s">
        <v>128</v>
      </c>
      <c r="I380" t="s">
        <v>119</v>
      </c>
    </row>
    <row r="381" spans="1:9" x14ac:dyDescent="0.25">
      <c r="A381" t="s">
        <v>807</v>
      </c>
      <c r="B381" t="s">
        <v>42</v>
      </c>
      <c r="C381" t="s">
        <v>80</v>
      </c>
      <c r="D381" t="s">
        <v>31</v>
      </c>
      <c r="E381" t="s">
        <v>51</v>
      </c>
      <c r="F381" t="s">
        <v>99</v>
      </c>
      <c r="G381" t="s">
        <v>90</v>
      </c>
      <c r="H381" t="s">
        <v>108</v>
      </c>
      <c r="I381" t="s">
        <v>119</v>
      </c>
    </row>
    <row r="382" spans="1:9" x14ac:dyDescent="0.25">
      <c r="A382" t="s">
        <v>808</v>
      </c>
      <c r="B382" t="s">
        <v>42</v>
      </c>
      <c r="C382" t="s">
        <v>80</v>
      </c>
      <c r="D382" t="s">
        <v>31</v>
      </c>
      <c r="E382" t="s">
        <v>51</v>
      </c>
      <c r="F382" t="s">
        <v>99</v>
      </c>
      <c r="G382" t="s">
        <v>90</v>
      </c>
      <c r="H382" t="s">
        <v>128</v>
      </c>
      <c r="I382" t="s">
        <v>108</v>
      </c>
    </row>
    <row r="383" spans="1:9" x14ac:dyDescent="0.25">
      <c r="A383" t="s">
        <v>809</v>
      </c>
      <c r="B383" t="s">
        <v>42</v>
      </c>
      <c r="C383" t="s">
        <v>80</v>
      </c>
      <c r="D383" t="s">
        <v>31</v>
      </c>
      <c r="E383" t="s">
        <v>51</v>
      </c>
      <c r="F383" t="s">
        <v>99</v>
      </c>
      <c r="G383" t="s">
        <v>90</v>
      </c>
      <c r="H383" t="s">
        <v>128</v>
      </c>
      <c r="I383" t="s">
        <v>119</v>
      </c>
    </row>
    <row r="384" spans="1:9" x14ac:dyDescent="0.25">
      <c r="A384" t="s">
        <v>810</v>
      </c>
      <c r="B384" t="s">
        <v>42</v>
      </c>
      <c r="C384" t="s">
        <v>80</v>
      </c>
      <c r="D384" t="s">
        <v>31</v>
      </c>
      <c r="E384" t="s">
        <v>51</v>
      </c>
      <c r="F384" t="s">
        <v>108</v>
      </c>
      <c r="G384" t="s">
        <v>90</v>
      </c>
      <c r="H384" t="s">
        <v>128</v>
      </c>
      <c r="I384" t="s">
        <v>119</v>
      </c>
    </row>
    <row r="385" spans="1:9" x14ac:dyDescent="0.25">
      <c r="A385" t="s">
        <v>811</v>
      </c>
      <c r="B385" t="s">
        <v>42</v>
      </c>
      <c r="C385" t="s">
        <v>80</v>
      </c>
      <c r="D385" t="s">
        <v>99</v>
      </c>
      <c r="E385" t="s">
        <v>31</v>
      </c>
      <c r="F385" t="s">
        <v>108</v>
      </c>
      <c r="G385" t="s">
        <v>51</v>
      </c>
      <c r="H385" t="s">
        <v>128</v>
      </c>
      <c r="I385" t="s">
        <v>119</v>
      </c>
    </row>
    <row r="386" spans="1:9" x14ac:dyDescent="0.25">
      <c r="A386" t="s">
        <v>812</v>
      </c>
      <c r="B386" t="s">
        <v>42</v>
      </c>
      <c r="C386" t="s">
        <v>99</v>
      </c>
      <c r="D386" t="s">
        <v>31</v>
      </c>
      <c r="E386" t="s">
        <v>51</v>
      </c>
      <c r="F386" t="s">
        <v>108</v>
      </c>
      <c r="G386" t="s">
        <v>90</v>
      </c>
      <c r="H386" t="s">
        <v>128</v>
      </c>
      <c r="I386" t="s">
        <v>119</v>
      </c>
    </row>
    <row r="387" spans="1:9" x14ac:dyDescent="0.25">
      <c r="A387" t="s">
        <v>813</v>
      </c>
      <c r="B387" t="s">
        <v>42</v>
      </c>
      <c r="C387" t="s">
        <v>60</v>
      </c>
      <c r="D387" t="s">
        <v>31</v>
      </c>
      <c r="E387" t="s">
        <v>69</v>
      </c>
      <c r="F387" t="s">
        <v>90</v>
      </c>
      <c r="G387" t="s">
        <v>80</v>
      </c>
      <c r="H387" t="s">
        <v>99</v>
      </c>
      <c r="I387" t="s">
        <v>108</v>
      </c>
    </row>
    <row r="388" spans="1:9" x14ac:dyDescent="0.25">
      <c r="A388" t="s">
        <v>814</v>
      </c>
      <c r="B388" t="s">
        <v>42</v>
      </c>
      <c r="C388" t="s">
        <v>60</v>
      </c>
      <c r="D388" t="s">
        <v>31</v>
      </c>
      <c r="E388" t="s">
        <v>69</v>
      </c>
      <c r="F388" t="s">
        <v>90</v>
      </c>
      <c r="G388" t="s">
        <v>80</v>
      </c>
      <c r="H388" t="s">
        <v>99</v>
      </c>
      <c r="I388" t="s">
        <v>119</v>
      </c>
    </row>
    <row r="389" spans="1:9" x14ac:dyDescent="0.25">
      <c r="A389" t="s">
        <v>815</v>
      </c>
      <c r="B389" t="s">
        <v>42</v>
      </c>
      <c r="C389" t="s">
        <v>60</v>
      </c>
      <c r="D389" t="s">
        <v>31</v>
      </c>
      <c r="E389" t="s">
        <v>69</v>
      </c>
      <c r="F389" t="s">
        <v>90</v>
      </c>
      <c r="G389" t="s">
        <v>80</v>
      </c>
      <c r="H389" t="s">
        <v>128</v>
      </c>
      <c r="I389" t="s">
        <v>99</v>
      </c>
    </row>
    <row r="390" spans="1:9" x14ac:dyDescent="0.25">
      <c r="A390" t="s">
        <v>816</v>
      </c>
      <c r="B390" t="s">
        <v>42</v>
      </c>
      <c r="C390" t="s">
        <v>60</v>
      </c>
      <c r="D390" t="s">
        <v>31</v>
      </c>
      <c r="E390" t="s">
        <v>69</v>
      </c>
      <c r="F390" t="s">
        <v>90</v>
      </c>
      <c r="G390" t="s">
        <v>80</v>
      </c>
      <c r="H390" t="s">
        <v>108</v>
      </c>
      <c r="I390" t="s">
        <v>119</v>
      </c>
    </row>
    <row r="391" spans="1:9" x14ac:dyDescent="0.25">
      <c r="A391" t="s">
        <v>817</v>
      </c>
      <c r="B391" t="s">
        <v>42</v>
      </c>
      <c r="C391" t="s">
        <v>60</v>
      </c>
      <c r="D391" t="s">
        <v>31</v>
      </c>
      <c r="E391" t="s">
        <v>69</v>
      </c>
      <c r="F391" t="s">
        <v>90</v>
      </c>
      <c r="G391" t="s">
        <v>80</v>
      </c>
      <c r="H391" t="s">
        <v>128</v>
      </c>
      <c r="I391" t="s">
        <v>108</v>
      </c>
    </row>
    <row r="392" spans="1:9" x14ac:dyDescent="0.25">
      <c r="A392" t="s">
        <v>818</v>
      </c>
      <c r="B392" t="s">
        <v>42</v>
      </c>
      <c r="C392" t="s">
        <v>60</v>
      </c>
      <c r="D392" t="s">
        <v>31</v>
      </c>
      <c r="E392" t="s">
        <v>69</v>
      </c>
      <c r="F392" t="s">
        <v>90</v>
      </c>
      <c r="G392" t="s">
        <v>80</v>
      </c>
      <c r="H392" t="s">
        <v>128</v>
      </c>
      <c r="I392" t="s">
        <v>119</v>
      </c>
    </row>
    <row r="393" spans="1:9" x14ac:dyDescent="0.25">
      <c r="A393" t="s">
        <v>819</v>
      </c>
      <c r="B393" t="s">
        <v>42</v>
      </c>
      <c r="C393" t="s">
        <v>60</v>
      </c>
      <c r="D393" t="s">
        <v>31</v>
      </c>
      <c r="E393" t="s">
        <v>69</v>
      </c>
      <c r="F393" t="s">
        <v>99</v>
      </c>
      <c r="G393" t="s">
        <v>80</v>
      </c>
      <c r="H393" t="s">
        <v>108</v>
      </c>
      <c r="I393" t="s">
        <v>119</v>
      </c>
    </row>
    <row r="394" spans="1:9" x14ac:dyDescent="0.25">
      <c r="A394" t="s">
        <v>820</v>
      </c>
      <c r="B394" t="s">
        <v>42</v>
      </c>
      <c r="C394" t="s">
        <v>60</v>
      </c>
      <c r="D394" t="s">
        <v>31</v>
      </c>
      <c r="E394" t="s">
        <v>69</v>
      </c>
      <c r="F394" t="s">
        <v>99</v>
      </c>
      <c r="G394" t="s">
        <v>80</v>
      </c>
      <c r="H394" t="s">
        <v>128</v>
      </c>
      <c r="I394" t="s">
        <v>108</v>
      </c>
    </row>
    <row r="395" spans="1:9" x14ac:dyDescent="0.25">
      <c r="A395" t="s">
        <v>821</v>
      </c>
      <c r="B395" t="s">
        <v>42</v>
      </c>
      <c r="C395" t="s">
        <v>60</v>
      </c>
      <c r="D395" t="s">
        <v>31</v>
      </c>
      <c r="E395" t="s">
        <v>69</v>
      </c>
      <c r="F395" t="s">
        <v>99</v>
      </c>
      <c r="G395" t="s">
        <v>80</v>
      </c>
      <c r="H395" t="s">
        <v>128</v>
      </c>
      <c r="I395" t="s">
        <v>119</v>
      </c>
    </row>
    <row r="396" spans="1:9" x14ac:dyDescent="0.25">
      <c r="A396" t="s">
        <v>822</v>
      </c>
      <c r="B396" t="s">
        <v>42</v>
      </c>
      <c r="C396" t="s">
        <v>60</v>
      </c>
      <c r="D396" t="s">
        <v>31</v>
      </c>
      <c r="E396" t="s">
        <v>69</v>
      </c>
      <c r="F396" t="s">
        <v>108</v>
      </c>
      <c r="G396" t="s">
        <v>80</v>
      </c>
      <c r="H396" t="s">
        <v>128</v>
      </c>
      <c r="I396" t="s">
        <v>119</v>
      </c>
    </row>
    <row r="397" spans="1:9" x14ac:dyDescent="0.25">
      <c r="A397" t="s">
        <v>823</v>
      </c>
      <c r="B397" t="s">
        <v>42</v>
      </c>
      <c r="C397" t="s">
        <v>60</v>
      </c>
      <c r="D397" t="s">
        <v>31</v>
      </c>
      <c r="E397" t="s">
        <v>69</v>
      </c>
      <c r="F397" t="s">
        <v>99</v>
      </c>
      <c r="G397" t="s">
        <v>90</v>
      </c>
      <c r="H397" t="s">
        <v>108</v>
      </c>
      <c r="I397" t="s">
        <v>119</v>
      </c>
    </row>
    <row r="398" spans="1:9" x14ac:dyDescent="0.25">
      <c r="A398" t="s">
        <v>824</v>
      </c>
      <c r="B398" t="s">
        <v>42</v>
      </c>
      <c r="C398" t="s">
        <v>60</v>
      </c>
      <c r="D398" t="s">
        <v>31</v>
      </c>
      <c r="E398" t="s">
        <v>69</v>
      </c>
      <c r="F398" t="s">
        <v>99</v>
      </c>
      <c r="G398" t="s">
        <v>90</v>
      </c>
      <c r="H398" t="s">
        <v>128</v>
      </c>
      <c r="I398" t="s">
        <v>108</v>
      </c>
    </row>
    <row r="399" spans="1:9" x14ac:dyDescent="0.25">
      <c r="A399" t="s">
        <v>825</v>
      </c>
      <c r="B399" t="s">
        <v>42</v>
      </c>
      <c r="C399" t="s">
        <v>60</v>
      </c>
      <c r="D399" t="s">
        <v>31</v>
      </c>
      <c r="E399" t="s">
        <v>69</v>
      </c>
      <c r="F399" t="s">
        <v>99</v>
      </c>
      <c r="G399" t="s">
        <v>90</v>
      </c>
      <c r="H399" t="s">
        <v>128</v>
      </c>
      <c r="I399" t="s">
        <v>119</v>
      </c>
    </row>
    <row r="400" spans="1:9" x14ac:dyDescent="0.25">
      <c r="A400" t="s">
        <v>826</v>
      </c>
      <c r="B400" t="s">
        <v>42</v>
      </c>
      <c r="C400" t="s">
        <v>60</v>
      </c>
      <c r="D400" t="s">
        <v>31</v>
      </c>
      <c r="E400" t="s">
        <v>69</v>
      </c>
      <c r="F400" t="s">
        <v>108</v>
      </c>
      <c r="G400" t="s">
        <v>90</v>
      </c>
      <c r="H400" t="s">
        <v>128</v>
      </c>
      <c r="I400" t="s">
        <v>119</v>
      </c>
    </row>
    <row r="401" spans="1:9" x14ac:dyDescent="0.25">
      <c r="A401" t="s">
        <v>827</v>
      </c>
      <c r="B401" t="s">
        <v>42</v>
      </c>
      <c r="C401" t="s">
        <v>60</v>
      </c>
      <c r="D401" t="s">
        <v>99</v>
      </c>
      <c r="E401" t="s">
        <v>31</v>
      </c>
      <c r="F401" t="s">
        <v>108</v>
      </c>
      <c r="G401" t="s">
        <v>69</v>
      </c>
      <c r="H401" t="s">
        <v>128</v>
      </c>
      <c r="I401" t="s">
        <v>119</v>
      </c>
    </row>
    <row r="402" spans="1:9" x14ac:dyDescent="0.25">
      <c r="A402" t="s">
        <v>828</v>
      </c>
      <c r="B402" t="s">
        <v>42</v>
      </c>
      <c r="C402" t="s">
        <v>60</v>
      </c>
      <c r="D402" t="s">
        <v>99</v>
      </c>
      <c r="E402" t="s">
        <v>31</v>
      </c>
      <c r="F402" t="s">
        <v>90</v>
      </c>
      <c r="G402" t="s">
        <v>80</v>
      </c>
      <c r="H402" t="s">
        <v>108</v>
      </c>
      <c r="I402" t="s">
        <v>119</v>
      </c>
    </row>
    <row r="403" spans="1:9" x14ac:dyDescent="0.25">
      <c r="A403" t="s">
        <v>829</v>
      </c>
      <c r="B403" t="s">
        <v>42</v>
      </c>
      <c r="C403" t="s">
        <v>60</v>
      </c>
      <c r="D403" t="s">
        <v>99</v>
      </c>
      <c r="E403" t="s">
        <v>31</v>
      </c>
      <c r="F403" t="s">
        <v>90</v>
      </c>
      <c r="G403" t="s">
        <v>80</v>
      </c>
      <c r="H403" t="s">
        <v>128</v>
      </c>
      <c r="I403" t="s">
        <v>108</v>
      </c>
    </row>
    <row r="404" spans="1:9" x14ac:dyDescent="0.25">
      <c r="A404" t="s">
        <v>830</v>
      </c>
      <c r="B404" t="s">
        <v>42</v>
      </c>
      <c r="C404" t="s">
        <v>60</v>
      </c>
      <c r="D404" t="s">
        <v>99</v>
      </c>
      <c r="E404" t="s">
        <v>31</v>
      </c>
      <c r="F404" t="s">
        <v>90</v>
      </c>
      <c r="G404" t="s">
        <v>80</v>
      </c>
      <c r="H404" t="s">
        <v>128</v>
      </c>
      <c r="I404" t="s">
        <v>119</v>
      </c>
    </row>
    <row r="405" spans="1:9" x14ac:dyDescent="0.25">
      <c r="A405" t="s">
        <v>831</v>
      </c>
      <c r="B405" t="s">
        <v>42</v>
      </c>
      <c r="C405" t="s">
        <v>60</v>
      </c>
      <c r="D405" t="s">
        <v>108</v>
      </c>
      <c r="E405" t="s">
        <v>31</v>
      </c>
      <c r="F405" t="s">
        <v>90</v>
      </c>
      <c r="G405" t="s">
        <v>80</v>
      </c>
      <c r="H405" t="s">
        <v>128</v>
      </c>
      <c r="I405" t="s">
        <v>119</v>
      </c>
    </row>
    <row r="406" spans="1:9" x14ac:dyDescent="0.25">
      <c r="A406" t="s">
        <v>832</v>
      </c>
      <c r="B406" t="s">
        <v>42</v>
      </c>
      <c r="C406" t="s">
        <v>60</v>
      </c>
      <c r="D406" t="s">
        <v>99</v>
      </c>
      <c r="E406" t="s">
        <v>31</v>
      </c>
      <c r="F406" t="s">
        <v>108</v>
      </c>
      <c r="G406" t="s">
        <v>80</v>
      </c>
      <c r="H406" t="s">
        <v>128</v>
      </c>
      <c r="I406" t="s">
        <v>119</v>
      </c>
    </row>
    <row r="407" spans="1:9" x14ac:dyDescent="0.25">
      <c r="A407" t="s">
        <v>833</v>
      </c>
      <c r="B407" t="s">
        <v>42</v>
      </c>
      <c r="C407" t="s">
        <v>60</v>
      </c>
      <c r="D407" t="s">
        <v>99</v>
      </c>
      <c r="E407" t="s">
        <v>31</v>
      </c>
      <c r="F407" t="s">
        <v>108</v>
      </c>
      <c r="G407" t="s">
        <v>90</v>
      </c>
      <c r="H407" t="s">
        <v>128</v>
      </c>
      <c r="I407" t="s">
        <v>119</v>
      </c>
    </row>
    <row r="408" spans="1:9" x14ac:dyDescent="0.25">
      <c r="A408" t="s">
        <v>834</v>
      </c>
      <c r="B408" t="s">
        <v>42</v>
      </c>
      <c r="C408" t="s">
        <v>69</v>
      </c>
      <c r="D408" t="s">
        <v>99</v>
      </c>
      <c r="E408" t="s">
        <v>31</v>
      </c>
      <c r="F408" t="s">
        <v>90</v>
      </c>
      <c r="G408" t="s">
        <v>80</v>
      </c>
      <c r="H408" t="s">
        <v>108</v>
      </c>
      <c r="I408" t="s">
        <v>119</v>
      </c>
    </row>
    <row r="409" spans="1:9" x14ac:dyDescent="0.25">
      <c r="A409" t="s">
        <v>835</v>
      </c>
      <c r="B409" t="s">
        <v>42</v>
      </c>
      <c r="C409" t="s">
        <v>69</v>
      </c>
      <c r="D409" t="s">
        <v>99</v>
      </c>
      <c r="E409" t="s">
        <v>31</v>
      </c>
      <c r="F409" t="s">
        <v>90</v>
      </c>
      <c r="G409" t="s">
        <v>80</v>
      </c>
      <c r="H409" t="s">
        <v>128</v>
      </c>
      <c r="I409" t="s">
        <v>108</v>
      </c>
    </row>
    <row r="410" spans="1:9" x14ac:dyDescent="0.25">
      <c r="A410" t="s">
        <v>836</v>
      </c>
      <c r="B410" t="s">
        <v>42</v>
      </c>
      <c r="C410" t="s">
        <v>69</v>
      </c>
      <c r="D410" t="s">
        <v>99</v>
      </c>
      <c r="E410" t="s">
        <v>31</v>
      </c>
      <c r="F410" t="s">
        <v>90</v>
      </c>
      <c r="G410" t="s">
        <v>80</v>
      </c>
      <c r="H410" t="s">
        <v>128</v>
      </c>
      <c r="I410" t="s">
        <v>119</v>
      </c>
    </row>
    <row r="411" spans="1:9" x14ac:dyDescent="0.25">
      <c r="A411" t="s">
        <v>837</v>
      </c>
      <c r="B411" t="s">
        <v>42</v>
      </c>
      <c r="C411" t="s">
        <v>69</v>
      </c>
      <c r="D411" t="s">
        <v>108</v>
      </c>
      <c r="E411" t="s">
        <v>31</v>
      </c>
      <c r="F411" t="s">
        <v>90</v>
      </c>
      <c r="G411" t="s">
        <v>80</v>
      </c>
      <c r="H411" t="s">
        <v>128</v>
      </c>
      <c r="I411" t="s">
        <v>119</v>
      </c>
    </row>
    <row r="412" spans="1:9" x14ac:dyDescent="0.25">
      <c r="A412" t="s">
        <v>838</v>
      </c>
      <c r="B412" t="s">
        <v>42</v>
      </c>
      <c r="C412" t="s">
        <v>69</v>
      </c>
      <c r="D412" t="s">
        <v>99</v>
      </c>
      <c r="E412" t="s">
        <v>31</v>
      </c>
      <c r="F412" t="s">
        <v>108</v>
      </c>
      <c r="G412" t="s">
        <v>80</v>
      </c>
      <c r="H412" t="s">
        <v>128</v>
      </c>
      <c r="I412" t="s">
        <v>119</v>
      </c>
    </row>
    <row r="413" spans="1:9" x14ac:dyDescent="0.25">
      <c r="A413" t="s">
        <v>839</v>
      </c>
      <c r="B413" t="s">
        <v>42</v>
      </c>
      <c r="C413" t="s">
        <v>69</v>
      </c>
      <c r="D413" t="s">
        <v>99</v>
      </c>
      <c r="E413" t="s">
        <v>31</v>
      </c>
      <c r="F413" t="s">
        <v>108</v>
      </c>
      <c r="G413" t="s">
        <v>90</v>
      </c>
      <c r="H413" t="s">
        <v>128</v>
      </c>
      <c r="I413" t="s">
        <v>119</v>
      </c>
    </row>
    <row r="414" spans="1:9" x14ac:dyDescent="0.25">
      <c r="A414" t="s">
        <v>840</v>
      </c>
      <c r="B414" t="s">
        <v>42</v>
      </c>
      <c r="C414" t="s">
        <v>80</v>
      </c>
      <c r="D414" t="s">
        <v>99</v>
      </c>
      <c r="E414" t="s">
        <v>31</v>
      </c>
      <c r="F414" t="s">
        <v>108</v>
      </c>
      <c r="G414" t="s">
        <v>90</v>
      </c>
      <c r="H414" t="s">
        <v>128</v>
      </c>
      <c r="I414" t="s">
        <v>119</v>
      </c>
    </row>
    <row r="415" spans="1:9" x14ac:dyDescent="0.25">
      <c r="A415" t="s">
        <v>841</v>
      </c>
      <c r="B415" t="s">
        <v>60</v>
      </c>
      <c r="C415" t="s">
        <v>69</v>
      </c>
      <c r="D415" t="s">
        <v>31</v>
      </c>
      <c r="E415" t="s">
        <v>51</v>
      </c>
      <c r="F415" t="s">
        <v>90</v>
      </c>
      <c r="G415" t="s">
        <v>80</v>
      </c>
      <c r="H415" t="s">
        <v>99</v>
      </c>
      <c r="I415" t="s">
        <v>108</v>
      </c>
    </row>
    <row r="416" spans="1:9" x14ac:dyDescent="0.25">
      <c r="A416" t="s">
        <v>842</v>
      </c>
      <c r="B416" t="s">
        <v>60</v>
      </c>
      <c r="C416" t="s">
        <v>69</v>
      </c>
      <c r="D416" t="s">
        <v>31</v>
      </c>
      <c r="E416" t="s">
        <v>51</v>
      </c>
      <c r="F416" t="s">
        <v>90</v>
      </c>
      <c r="G416" t="s">
        <v>80</v>
      </c>
      <c r="H416" t="s">
        <v>99</v>
      </c>
      <c r="I416" t="s">
        <v>119</v>
      </c>
    </row>
    <row r="417" spans="1:9" x14ac:dyDescent="0.25">
      <c r="A417" t="s">
        <v>843</v>
      </c>
      <c r="B417" t="s">
        <v>60</v>
      </c>
      <c r="C417" t="s">
        <v>69</v>
      </c>
      <c r="D417" t="s">
        <v>31</v>
      </c>
      <c r="E417" t="s">
        <v>51</v>
      </c>
      <c r="F417" t="s">
        <v>90</v>
      </c>
      <c r="G417" t="s">
        <v>80</v>
      </c>
      <c r="H417" t="s">
        <v>128</v>
      </c>
      <c r="I417" t="s">
        <v>99</v>
      </c>
    </row>
    <row r="418" spans="1:9" x14ac:dyDescent="0.25">
      <c r="A418" t="s">
        <v>844</v>
      </c>
      <c r="B418" t="s">
        <v>60</v>
      </c>
      <c r="C418" t="s">
        <v>69</v>
      </c>
      <c r="D418" t="s">
        <v>31</v>
      </c>
      <c r="E418" t="s">
        <v>51</v>
      </c>
      <c r="F418" t="s">
        <v>90</v>
      </c>
      <c r="G418" t="s">
        <v>80</v>
      </c>
      <c r="H418" t="s">
        <v>108</v>
      </c>
      <c r="I418" t="s">
        <v>119</v>
      </c>
    </row>
    <row r="419" spans="1:9" x14ac:dyDescent="0.25">
      <c r="A419" t="s">
        <v>845</v>
      </c>
      <c r="B419" t="s">
        <v>60</v>
      </c>
      <c r="C419" t="s">
        <v>69</v>
      </c>
      <c r="D419" t="s">
        <v>31</v>
      </c>
      <c r="E419" t="s">
        <v>51</v>
      </c>
      <c r="F419" t="s">
        <v>90</v>
      </c>
      <c r="G419" t="s">
        <v>80</v>
      </c>
      <c r="H419" t="s">
        <v>128</v>
      </c>
      <c r="I419" t="s">
        <v>108</v>
      </c>
    </row>
    <row r="420" spans="1:9" x14ac:dyDescent="0.25">
      <c r="A420" t="s">
        <v>846</v>
      </c>
      <c r="B420" t="s">
        <v>60</v>
      </c>
      <c r="C420" t="s">
        <v>69</v>
      </c>
      <c r="D420" t="s">
        <v>31</v>
      </c>
      <c r="E420" t="s">
        <v>51</v>
      </c>
      <c r="F420" t="s">
        <v>90</v>
      </c>
      <c r="G420" t="s">
        <v>80</v>
      </c>
      <c r="H420" t="s">
        <v>128</v>
      </c>
      <c r="I420" t="s">
        <v>119</v>
      </c>
    </row>
    <row r="421" spans="1:9" x14ac:dyDescent="0.25">
      <c r="A421" t="s">
        <v>847</v>
      </c>
      <c r="B421" t="s">
        <v>60</v>
      </c>
      <c r="C421" t="s">
        <v>69</v>
      </c>
      <c r="D421" t="s">
        <v>31</v>
      </c>
      <c r="E421" t="s">
        <v>51</v>
      </c>
      <c r="F421" t="s">
        <v>99</v>
      </c>
      <c r="G421" t="s">
        <v>80</v>
      </c>
      <c r="H421" t="s">
        <v>108</v>
      </c>
      <c r="I421" t="s">
        <v>119</v>
      </c>
    </row>
    <row r="422" spans="1:9" x14ac:dyDescent="0.25">
      <c r="A422" t="s">
        <v>848</v>
      </c>
      <c r="B422" t="s">
        <v>60</v>
      </c>
      <c r="C422" t="s">
        <v>69</v>
      </c>
      <c r="D422" t="s">
        <v>31</v>
      </c>
      <c r="E422" t="s">
        <v>51</v>
      </c>
      <c r="F422" t="s">
        <v>99</v>
      </c>
      <c r="G422" t="s">
        <v>80</v>
      </c>
      <c r="H422" t="s">
        <v>128</v>
      </c>
      <c r="I422" t="s">
        <v>108</v>
      </c>
    </row>
    <row r="423" spans="1:9" x14ac:dyDescent="0.25">
      <c r="A423" t="s">
        <v>849</v>
      </c>
      <c r="B423" t="s">
        <v>60</v>
      </c>
      <c r="C423" t="s">
        <v>69</v>
      </c>
      <c r="D423" t="s">
        <v>31</v>
      </c>
      <c r="E423" t="s">
        <v>51</v>
      </c>
      <c r="F423" t="s">
        <v>99</v>
      </c>
      <c r="G423" t="s">
        <v>80</v>
      </c>
      <c r="H423" t="s">
        <v>128</v>
      </c>
      <c r="I423" t="s">
        <v>119</v>
      </c>
    </row>
    <row r="424" spans="1:9" x14ac:dyDescent="0.25">
      <c r="A424" t="s">
        <v>850</v>
      </c>
      <c r="B424" t="s">
        <v>60</v>
      </c>
      <c r="C424" t="s">
        <v>69</v>
      </c>
      <c r="D424" t="s">
        <v>31</v>
      </c>
      <c r="E424" t="s">
        <v>51</v>
      </c>
      <c r="F424" t="s">
        <v>108</v>
      </c>
      <c r="G424" t="s">
        <v>80</v>
      </c>
      <c r="H424" t="s">
        <v>128</v>
      </c>
      <c r="I424" t="s">
        <v>119</v>
      </c>
    </row>
    <row r="425" spans="1:9" x14ac:dyDescent="0.25">
      <c r="A425" t="s">
        <v>851</v>
      </c>
      <c r="B425" t="s">
        <v>60</v>
      </c>
      <c r="C425" t="s">
        <v>69</v>
      </c>
      <c r="D425" t="s">
        <v>31</v>
      </c>
      <c r="E425" t="s">
        <v>51</v>
      </c>
      <c r="F425" t="s">
        <v>99</v>
      </c>
      <c r="G425" t="s">
        <v>90</v>
      </c>
      <c r="H425" t="s">
        <v>108</v>
      </c>
      <c r="I425" t="s">
        <v>119</v>
      </c>
    </row>
    <row r="426" spans="1:9" x14ac:dyDescent="0.25">
      <c r="A426" t="s">
        <v>852</v>
      </c>
      <c r="B426" t="s">
        <v>60</v>
      </c>
      <c r="C426" t="s">
        <v>69</v>
      </c>
      <c r="D426" t="s">
        <v>31</v>
      </c>
      <c r="E426" t="s">
        <v>51</v>
      </c>
      <c r="F426" t="s">
        <v>99</v>
      </c>
      <c r="G426" t="s">
        <v>90</v>
      </c>
      <c r="H426" t="s">
        <v>128</v>
      </c>
      <c r="I426" t="s">
        <v>108</v>
      </c>
    </row>
    <row r="427" spans="1:9" x14ac:dyDescent="0.25">
      <c r="A427" t="s">
        <v>853</v>
      </c>
      <c r="B427" t="s">
        <v>60</v>
      </c>
      <c r="C427" t="s">
        <v>69</v>
      </c>
      <c r="D427" t="s">
        <v>31</v>
      </c>
      <c r="E427" t="s">
        <v>51</v>
      </c>
      <c r="F427" t="s">
        <v>99</v>
      </c>
      <c r="G427" t="s">
        <v>90</v>
      </c>
      <c r="H427" t="s">
        <v>128</v>
      </c>
      <c r="I427" t="s">
        <v>119</v>
      </c>
    </row>
    <row r="428" spans="1:9" x14ac:dyDescent="0.25">
      <c r="A428" t="s">
        <v>854</v>
      </c>
      <c r="B428" t="s">
        <v>60</v>
      </c>
      <c r="C428" t="s">
        <v>69</v>
      </c>
      <c r="D428" t="s">
        <v>31</v>
      </c>
      <c r="E428" t="s">
        <v>51</v>
      </c>
      <c r="F428" t="s">
        <v>108</v>
      </c>
      <c r="G428" t="s">
        <v>90</v>
      </c>
      <c r="H428" t="s">
        <v>128</v>
      </c>
      <c r="I428" t="s">
        <v>119</v>
      </c>
    </row>
    <row r="429" spans="1:9" x14ac:dyDescent="0.25">
      <c r="A429" t="s">
        <v>855</v>
      </c>
      <c r="B429" t="s">
        <v>60</v>
      </c>
      <c r="C429" t="s">
        <v>69</v>
      </c>
      <c r="D429" t="s">
        <v>99</v>
      </c>
      <c r="E429" t="s">
        <v>31</v>
      </c>
      <c r="F429" t="s">
        <v>108</v>
      </c>
      <c r="G429" t="s">
        <v>51</v>
      </c>
      <c r="H429" t="s">
        <v>128</v>
      </c>
      <c r="I429" t="s">
        <v>119</v>
      </c>
    </row>
    <row r="430" spans="1:9" x14ac:dyDescent="0.25">
      <c r="A430" t="s">
        <v>856</v>
      </c>
      <c r="B430" t="s">
        <v>60</v>
      </c>
      <c r="C430" t="s">
        <v>80</v>
      </c>
      <c r="D430" t="s">
        <v>31</v>
      </c>
      <c r="E430" t="s">
        <v>51</v>
      </c>
      <c r="F430" t="s">
        <v>99</v>
      </c>
      <c r="G430" t="s">
        <v>90</v>
      </c>
      <c r="H430" t="s">
        <v>108</v>
      </c>
      <c r="I430" t="s">
        <v>119</v>
      </c>
    </row>
    <row r="431" spans="1:9" x14ac:dyDescent="0.25">
      <c r="A431" t="s">
        <v>857</v>
      </c>
      <c r="B431" t="s">
        <v>60</v>
      </c>
      <c r="C431" t="s">
        <v>80</v>
      </c>
      <c r="D431" t="s">
        <v>31</v>
      </c>
      <c r="E431" t="s">
        <v>51</v>
      </c>
      <c r="F431" t="s">
        <v>99</v>
      </c>
      <c r="G431" t="s">
        <v>90</v>
      </c>
      <c r="H431" t="s">
        <v>128</v>
      </c>
      <c r="I431" t="s">
        <v>108</v>
      </c>
    </row>
    <row r="432" spans="1:9" x14ac:dyDescent="0.25">
      <c r="A432" t="s">
        <v>858</v>
      </c>
      <c r="B432" t="s">
        <v>60</v>
      </c>
      <c r="C432" t="s">
        <v>80</v>
      </c>
      <c r="D432" t="s">
        <v>31</v>
      </c>
      <c r="E432" t="s">
        <v>51</v>
      </c>
      <c r="F432" t="s">
        <v>99</v>
      </c>
      <c r="G432" t="s">
        <v>90</v>
      </c>
      <c r="H432" t="s">
        <v>128</v>
      </c>
      <c r="I432" t="s">
        <v>119</v>
      </c>
    </row>
    <row r="433" spans="1:9" x14ac:dyDescent="0.25">
      <c r="A433" t="s">
        <v>859</v>
      </c>
      <c r="B433" t="s">
        <v>60</v>
      </c>
      <c r="C433" t="s">
        <v>80</v>
      </c>
      <c r="D433" t="s">
        <v>31</v>
      </c>
      <c r="E433" t="s">
        <v>51</v>
      </c>
      <c r="F433" t="s">
        <v>108</v>
      </c>
      <c r="G433" t="s">
        <v>90</v>
      </c>
      <c r="H433" t="s">
        <v>128</v>
      </c>
      <c r="I433" t="s">
        <v>119</v>
      </c>
    </row>
    <row r="434" spans="1:9" x14ac:dyDescent="0.25">
      <c r="A434" t="s">
        <v>860</v>
      </c>
      <c r="B434" t="s">
        <v>60</v>
      </c>
      <c r="C434" t="s">
        <v>80</v>
      </c>
      <c r="D434" t="s">
        <v>99</v>
      </c>
      <c r="E434" t="s">
        <v>31</v>
      </c>
      <c r="F434" t="s">
        <v>108</v>
      </c>
      <c r="G434" t="s">
        <v>51</v>
      </c>
      <c r="H434" t="s">
        <v>128</v>
      </c>
      <c r="I434" t="s">
        <v>119</v>
      </c>
    </row>
    <row r="435" spans="1:9" x14ac:dyDescent="0.25">
      <c r="A435" t="s">
        <v>861</v>
      </c>
      <c r="B435" t="s">
        <v>60</v>
      </c>
      <c r="C435" t="s">
        <v>99</v>
      </c>
      <c r="D435" t="s">
        <v>31</v>
      </c>
      <c r="E435" t="s">
        <v>51</v>
      </c>
      <c r="F435" t="s">
        <v>108</v>
      </c>
      <c r="G435" t="s">
        <v>90</v>
      </c>
      <c r="H435" t="s">
        <v>128</v>
      </c>
      <c r="I435" t="s">
        <v>119</v>
      </c>
    </row>
    <row r="436" spans="1:9" x14ac:dyDescent="0.25">
      <c r="A436" t="s">
        <v>862</v>
      </c>
      <c r="B436" t="s">
        <v>69</v>
      </c>
      <c r="C436" t="s">
        <v>80</v>
      </c>
      <c r="D436" t="s">
        <v>31</v>
      </c>
      <c r="E436" t="s">
        <v>51</v>
      </c>
      <c r="F436" t="s">
        <v>99</v>
      </c>
      <c r="G436" t="s">
        <v>90</v>
      </c>
      <c r="H436" t="s">
        <v>108</v>
      </c>
      <c r="I436" t="s">
        <v>119</v>
      </c>
    </row>
    <row r="437" spans="1:9" x14ac:dyDescent="0.25">
      <c r="A437" t="s">
        <v>863</v>
      </c>
      <c r="B437" t="s">
        <v>69</v>
      </c>
      <c r="C437" t="s">
        <v>80</v>
      </c>
      <c r="D437" t="s">
        <v>31</v>
      </c>
      <c r="E437" t="s">
        <v>51</v>
      </c>
      <c r="F437" t="s">
        <v>99</v>
      </c>
      <c r="G437" t="s">
        <v>90</v>
      </c>
      <c r="H437" t="s">
        <v>128</v>
      </c>
      <c r="I437" t="s">
        <v>108</v>
      </c>
    </row>
    <row r="438" spans="1:9" x14ac:dyDescent="0.25">
      <c r="A438" t="s">
        <v>864</v>
      </c>
      <c r="B438" t="s">
        <v>69</v>
      </c>
      <c r="C438" t="s">
        <v>80</v>
      </c>
      <c r="D438" t="s">
        <v>31</v>
      </c>
      <c r="E438" t="s">
        <v>51</v>
      </c>
      <c r="F438" t="s">
        <v>99</v>
      </c>
      <c r="G438" t="s">
        <v>90</v>
      </c>
      <c r="H438" t="s">
        <v>128</v>
      </c>
      <c r="I438" t="s">
        <v>119</v>
      </c>
    </row>
    <row r="439" spans="1:9" x14ac:dyDescent="0.25">
      <c r="A439" t="s">
        <v>865</v>
      </c>
      <c r="B439" t="s">
        <v>69</v>
      </c>
      <c r="C439" t="s">
        <v>80</v>
      </c>
      <c r="D439" t="s">
        <v>31</v>
      </c>
      <c r="E439" t="s">
        <v>51</v>
      </c>
      <c r="F439" t="s">
        <v>108</v>
      </c>
      <c r="G439" t="s">
        <v>90</v>
      </c>
      <c r="H439" t="s">
        <v>128</v>
      </c>
      <c r="I439" t="s">
        <v>119</v>
      </c>
    </row>
    <row r="440" spans="1:9" x14ac:dyDescent="0.25">
      <c r="A440" t="s">
        <v>866</v>
      </c>
      <c r="B440" t="s">
        <v>69</v>
      </c>
      <c r="C440" t="s">
        <v>80</v>
      </c>
      <c r="D440" t="s">
        <v>99</v>
      </c>
      <c r="E440" t="s">
        <v>31</v>
      </c>
      <c r="F440" t="s">
        <v>108</v>
      </c>
      <c r="G440" t="s">
        <v>51</v>
      </c>
      <c r="H440" t="s">
        <v>128</v>
      </c>
      <c r="I440" t="s">
        <v>119</v>
      </c>
    </row>
    <row r="441" spans="1:9" x14ac:dyDescent="0.25">
      <c r="A441" t="s">
        <v>867</v>
      </c>
      <c r="B441" t="s">
        <v>69</v>
      </c>
      <c r="C441" t="s">
        <v>99</v>
      </c>
      <c r="D441" t="s">
        <v>31</v>
      </c>
      <c r="E441" t="s">
        <v>51</v>
      </c>
      <c r="F441" t="s">
        <v>108</v>
      </c>
      <c r="G441" t="s">
        <v>90</v>
      </c>
      <c r="H441" t="s">
        <v>128</v>
      </c>
      <c r="I441" t="s">
        <v>119</v>
      </c>
    </row>
    <row r="442" spans="1:9" x14ac:dyDescent="0.25">
      <c r="A442" t="s">
        <v>868</v>
      </c>
      <c r="B442" t="s">
        <v>90</v>
      </c>
      <c r="C442" t="s">
        <v>80</v>
      </c>
      <c r="D442" t="s">
        <v>99</v>
      </c>
      <c r="E442" t="s">
        <v>31</v>
      </c>
      <c r="F442" t="s">
        <v>108</v>
      </c>
      <c r="G442" t="s">
        <v>51</v>
      </c>
      <c r="H442" t="s">
        <v>128</v>
      </c>
      <c r="I442" t="s">
        <v>119</v>
      </c>
    </row>
    <row r="443" spans="1:9" x14ac:dyDescent="0.25">
      <c r="A443" t="s">
        <v>869</v>
      </c>
      <c r="B443" t="s">
        <v>60</v>
      </c>
      <c r="C443" t="s">
        <v>69</v>
      </c>
      <c r="D443" t="s">
        <v>99</v>
      </c>
      <c r="E443" t="s">
        <v>31</v>
      </c>
      <c r="F443" t="s">
        <v>90</v>
      </c>
      <c r="G443" t="s">
        <v>80</v>
      </c>
      <c r="H443" t="s">
        <v>108</v>
      </c>
      <c r="I443" t="s">
        <v>119</v>
      </c>
    </row>
    <row r="444" spans="1:9" x14ac:dyDescent="0.25">
      <c r="A444" t="s">
        <v>870</v>
      </c>
      <c r="B444" t="s">
        <v>60</v>
      </c>
      <c r="C444" t="s">
        <v>69</v>
      </c>
      <c r="D444" t="s">
        <v>99</v>
      </c>
      <c r="E444" t="s">
        <v>31</v>
      </c>
      <c r="F444" t="s">
        <v>90</v>
      </c>
      <c r="G444" t="s">
        <v>80</v>
      </c>
      <c r="H444" t="s">
        <v>128</v>
      </c>
      <c r="I444" t="s">
        <v>108</v>
      </c>
    </row>
    <row r="445" spans="1:9" x14ac:dyDescent="0.25">
      <c r="A445" t="s">
        <v>871</v>
      </c>
      <c r="B445" t="s">
        <v>60</v>
      </c>
      <c r="C445" t="s">
        <v>69</v>
      </c>
      <c r="D445" t="s">
        <v>99</v>
      </c>
      <c r="E445" t="s">
        <v>31</v>
      </c>
      <c r="F445" t="s">
        <v>90</v>
      </c>
      <c r="G445" t="s">
        <v>80</v>
      </c>
      <c r="H445" t="s">
        <v>128</v>
      </c>
      <c r="I445" t="s">
        <v>119</v>
      </c>
    </row>
    <row r="446" spans="1:9" x14ac:dyDescent="0.25">
      <c r="A446" t="s">
        <v>872</v>
      </c>
      <c r="B446" t="s">
        <v>60</v>
      </c>
      <c r="C446" t="s">
        <v>69</v>
      </c>
      <c r="D446" t="s">
        <v>108</v>
      </c>
      <c r="E446" t="s">
        <v>31</v>
      </c>
      <c r="F446" t="s">
        <v>90</v>
      </c>
      <c r="G446" t="s">
        <v>80</v>
      </c>
      <c r="H446" t="s">
        <v>128</v>
      </c>
      <c r="I446" t="s">
        <v>119</v>
      </c>
    </row>
    <row r="447" spans="1:9" x14ac:dyDescent="0.25">
      <c r="A447" t="s">
        <v>873</v>
      </c>
      <c r="B447" t="s">
        <v>60</v>
      </c>
      <c r="C447" t="s">
        <v>69</v>
      </c>
      <c r="D447" t="s">
        <v>99</v>
      </c>
      <c r="E447" t="s">
        <v>31</v>
      </c>
      <c r="F447" t="s">
        <v>108</v>
      </c>
      <c r="G447" t="s">
        <v>80</v>
      </c>
      <c r="H447" t="s">
        <v>128</v>
      </c>
      <c r="I447" t="s">
        <v>119</v>
      </c>
    </row>
    <row r="448" spans="1:9" x14ac:dyDescent="0.25">
      <c r="A448" t="s">
        <v>874</v>
      </c>
      <c r="B448" t="s">
        <v>60</v>
      </c>
      <c r="C448" t="s">
        <v>69</v>
      </c>
      <c r="D448" t="s">
        <v>99</v>
      </c>
      <c r="E448" t="s">
        <v>31</v>
      </c>
      <c r="F448" t="s">
        <v>108</v>
      </c>
      <c r="G448" t="s">
        <v>90</v>
      </c>
      <c r="H448" t="s">
        <v>128</v>
      </c>
      <c r="I448" t="s">
        <v>119</v>
      </c>
    </row>
    <row r="449" spans="1:9" x14ac:dyDescent="0.25">
      <c r="A449" t="s">
        <v>875</v>
      </c>
      <c r="B449" t="s">
        <v>60</v>
      </c>
      <c r="C449" t="s">
        <v>80</v>
      </c>
      <c r="D449" t="s">
        <v>99</v>
      </c>
      <c r="E449" t="s">
        <v>31</v>
      </c>
      <c r="F449" t="s">
        <v>108</v>
      </c>
      <c r="G449" t="s">
        <v>90</v>
      </c>
      <c r="H449" t="s">
        <v>128</v>
      </c>
      <c r="I449" t="s">
        <v>119</v>
      </c>
    </row>
    <row r="450" spans="1:9" x14ac:dyDescent="0.25">
      <c r="A450" t="s">
        <v>876</v>
      </c>
      <c r="B450" t="s">
        <v>69</v>
      </c>
      <c r="C450" t="s">
        <v>80</v>
      </c>
      <c r="D450" t="s">
        <v>99</v>
      </c>
      <c r="E450" t="s">
        <v>31</v>
      </c>
      <c r="F450" t="s">
        <v>108</v>
      </c>
      <c r="G450" t="s">
        <v>90</v>
      </c>
      <c r="H450" t="s">
        <v>128</v>
      </c>
      <c r="I450" t="s">
        <v>119</v>
      </c>
    </row>
    <row r="451" spans="1:9" x14ac:dyDescent="0.25">
      <c r="A451" t="s">
        <v>877</v>
      </c>
      <c r="B451" t="s">
        <v>42</v>
      </c>
      <c r="C451" t="s">
        <v>60</v>
      </c>
      <c r="D451" t="s">
        <v>69</v>
      </c>
      <c r="E451" t="s">
        <v>51</v>
      </c>
      <c r="F451" t="s">
        <v>90</v>
      </c>
      <c r="G451" t="s">
        <v>80</v>
      </c>
      <c r="H451" t="s">
        <v>99</v>
      </c>
      <c r="I451" t="s">
        <v>108</v>
      </c>
    </row>
    <row r="452" spans="1:9" x14ac:dyDescent="0.25">
      <c r="A452" t="s">
        <v>878</v>
      </c>
      <c r="B452" t="s">
        <v>42</v>
      </c>
      <c r="C452" t="s">
        <v>60</v>
      </c>
      <c r="D452" t="s">
        <v>69</v>
      </c>
      <c r="E452" t="s">
        <v>51</v>
      </c>
      <c r="F452" t="s">
        <v>90</v>
      </c>
      <c r="G452" t="s">
        <v>80</v>
      </c>
      <c r="H452" t="s">
        <v>99</v>
      </c>
      <c r="I452" t="s">
        <v>119</v>
      </c>
    </row>
    <row r="453" spans="1:9" x14ac:dyDescent="0.25">
      <c r="A453" t="s">
        <v>879</v>
      </c>
      <c r="B453" t="s">
        <v>42</v>
      </c>
      <c r="C453" t="s">
        <v>60</v>
      </c>
      <c r="D453" t="s">
        <v>69</v>
      </c>
      <c r="E453" t="s">
        <v>51</v>
      </c>
      <c r="F453" t="s">
        <v>90</v>
      </c>
      <c r="G453" t="s">
        <v>80</v>
      </c>
      <c r="H453" t="s">
        <v>128</v>
      </c>
      <c r="I453" t="s">
        <v>99</v>
      </c>
    </row>
    <row r="454" spans="1:9" x14ac:dyDescent="0.25">
      <c r="A454" t="s">
        <v>880</v>
      </c>
      <c r="B454" t="s">
        <v>42</v>
      </c>
      <c r="C454" t="s">
        <v>60</v>
      </c>
      <c r="D454" t="s">
        <v>69</v>
      </c>
      <c r="E454" t="s">
        <v>51</v>
      </c>
      <c r="F454" t="s">
        <v>90</v>
      </c>
      <c r="G454" t="s">
        <v>80</v>
      </c>
      <c r="H454" t="s">
        <v>108</v>
      </c>
      <c r="I454" t="s">
        <v>119</v>
      </c>
    </row>
    <row r="455" spans="1:9" x14ac:dyDescent="0.25">
      <c r="A455" t="s">
        <v>881</v>
      </c>
      <c r="B455" t="s">
        <v>42</v>
      </c>
      <c r="C455" t="s">
        <v>60</v>
      </c>
      <c r="D455" t="s">
        <v>69</v>
      </c>
      <c r="E455" t="s">
        <v>51</v>
      </c>
      <c r="F455" t="s">
        <v>90</v>
      </c>
      <c r="G455" t="s">
        <v>80</v>
      </c>
      <c r="H455" t="s">
        <v>128</v>
      </c>
      <c r="I455" t="s">
        <v>108</v>
      </c>
    </row>
    <row r="456" spans="1:9" x14ac:dyDescent="0.25">
      <c r="A456" t="s">
        <v>882</v>
      </c>
      <c r="B456" t="s">
        <v>42</v>
      </c>
      <c r="C456" t="s">
        <v>60</v>
      </c>
      <c r="D456" t="s">
        <v>69</v>
      </c>
      <c r="E456" t="s">
        <v>51</v>
      </c>
      <c r="F456" t="s">
        <v>90</v>
      </c>
      <c r="G456" t="s">
        <v>80</v>
      </c>
      <c r="H456" t="s">
        <v>128</v>
      </c>
      <c r="I456" t="s">
        <v>119</v>
      </c>
    </row>
    <row r="457" spans="1:9" x14ac:dyDescent="0.25">
      <c r="A457" t="s">
        <v>883</v>
      </c>
      <c r="B457" t="s">
        <v>42</v>
      </c>
      <c r="C457" t="s">
        <v>60</v>
      </c>
      <c r="D457" t="s">
        <v>69</v>
      </c>
      <c r="E457" t="s">
        <v>51</v>
      </c>
      <c r="F457" t="s">
        <v>99</v>
      </c>
      <c r="G457" t="s">
        <v>80</v>
      </c>
      <c r="H457" t="s">
        <v>108</v>
      </c>
      <c r="I457" t="s">
        <v>119</v>
      </c>
    </row>
    <row r="458" spans="1:9" x14ac:dyDescent="0.25">
      <c r="A458" t="s">
        <v>884</v>
      </c>
      <c r="B458" t="s">
        <v>42</v>
      </c>
      <c r="C458" t="s">
        <v>60</v>
      </c>
      <c r="D458" t="s">
        <v>69</v>
      </c>
      <c r="E458" t="s">
        <v>51</v>
      </c>
      <c r="F458" t="s">
        <v>99</v>
      </c>
      <c r="G458" t="s">
        <v>80</v>
      </c>
      <c r="H458" t="s">
        <v>128</v>
      </c>
      <c r="I458" t="s">
        <v>108</v>
      </c>
    </row>
    <row r="459" spans="1:9" x14ac:dyDescent="0.25">
      <c r="A459" t="s">
        <v>885</v>
      </c>
      <c r="B459" t="s">
        <v>42</v>
      </c>
      <c r="C459" t="s">
        <v>60</v>
      </c>
      <c r="D459" t="s">
        <v>69</v>
      </c>
      <c r="E459" t="s">
        <v>51</v>
      </c>
      <c r="F459" t="s">
        <v>99</v>
      </c>
      <c r="G459" t="s">
        <v>80</v>
      </c>
      <c r="H459" t="s">
        <v>128</v>
      </c>
      <c r="I459" t="s">
        <v>119</v>
      </c>
    </row>
    <row r="460" spans="1:9" x14ac:dyDescent="0.25">
      <c r="A460" t="s">
        <v>886</v>
      </c>
      <c r="B460" t="s">
        <v>42</v>
      </c>
      <c r="C460" t="s">
        <v>60</v>
      </c>
      <c r="D460" t="s">
        <v>69</v>
      </c>
      <c r="E460" t="s">
        <v>51</v>
      </c>
      <c r="F460" t="s">
        <v>108</v>
      </c>
      <c r="G460" t="s">
        <v>80</v>
      </c>
      <c r="H460" t="s">
        <v>128</v>
      </c>
      <c r="I460" t="s">
        <v>119</v>
      </c>
    </row>
    <row r="461" spans="1:9" x14ac:dyDescent="0.25">
      <c r="A461" t="s">
        <v>887</v>
      </c>
      <c r="B461" t="s">
        <v>42</v>
      </c>
      <c r="C461" t="s">
        <v>60</v>
      </c>
      <c r="D461" t="s">
        <v>69</v>
      </c>
      <c r="E461" t="s">
        <v>51</v>
      </c>
      <c r="F461" t="s">
        <v>99</v>
      </c>
      <c r="G461" t="s">
        <v>90</v>
      </c>
      <c r="H461" t="s">
        <v>108</v>
      </c>
      <c r="I461" t="s">
        <v>119</v>
      </c>
    </row>
    <row r="462" spans="1:9" x14ac:dyDescent="0.25">
      <c r="A462" t="s">
        <v>888</v>
      </c>
      <c r="B462" t="s">
        <v>42</v>
      </c>
      <c r="C462" t="s">
        <v>60</v>
      </c>
      <c r="D462" t="s">
        <v>69</v>
      </c>
      <c r="E462" t="s">
        <v>51</v>
      </c>
      <c r="F462" t="s">
        <v>99</v>
      </c>
      <c r="G462" t="s">
        <v>90</v>
      </c>
      <c r="H462" t="s">
        <v>128</v>
      </c>
      <c r="I462" t="s">
        <v>108</v>
      </c>
    </row>
    <row r="463" spans="1:9" x14ac:dyDescent="0.25">
      <c r="A463" t="s">
        <v>889</v>
      </c>
      <c r="B463" t="s">
        <v>42</v>
      </c>
      <c r="C463" t="s">
        <v>60</v>
      </c>
      <c r="D463" t="s">
        <v>69</v>
      </c>
      <c r="E463" t="s">
        <v>51</v>
      </c>
      <c r="F463" t="s">
        <v>99</v>
      </c>
      <c r="G463" t="s">
        <v>90</v>
      </c>
      <c r="H463" t="s">
        <v>128</v>
      </c>
      <c r="I463" t="s">
        <v>119</v>
      </c>
    </row>
    <row r="464" spans="1:9" x14ac:dyDescent="0.25">
      <c r="A464" t="s">
        <v>890</v>
      </c>
      <c r="B464" t="s">
        <v>42</v>
      </c>
      <c r="C464" t="s">
        <v>60</v>
      </c>
      <c r="D464" t="s">
        <v>69</v>
      </c>
      <c r="E464" t="s">
        <v>51</v>
      </c>
      <c r="F464" t="s">
        <v>108</v>
      </c>
      <c r="G464" t="s">
        <v>90</v>
      </c>
      <c r="H464" t="s">
        <v>128</v>
      </c>
      <c r="I464" t="s">
        <v>119</v>
      </c>
    </row>
    <row r="465" spans="1:9" x14ac:dyDescent="0.25">
      <c r="A465" t="s">
        <v>891</v>
      </c>
      <c r="B465" t="s">
        <v>42</v>
      </c>
      <c r="C465" t="s">
        <v>60</v>
      </c>
      <c r="D465" t="s">
        <v>99</v>
      </c>
      <c r="E465" t="s">
        <v>51</v>
      </c>
      <c r="F465" t="s">
        <v>108</v>
      </c>
      <c r="G465" t="s">
        <v>69</v>
      </c>
      <c r="H465" t="s">
        <v>128</v>
      </c>
      <c r="I465" t="s">
        <v>119</v>
      </c>
    </row>
    <row r="466" spans="1:9" x14ac:dyDescent="0.25">
      <c r="A466" t="s">
        <v>892</v>
      </c>
      <c r="B466" t="s">
        <v>42</v>
      </c>
      <c r="C466" t="s">
        <v>60</v>
      </c>
      <c r="D466" t="s">
        <v>99</v>
      </c>
      <c r="E466" t="s">
        <v>51</v>
      </c>
      <c r="F466" t="s">
        <v>90</v>
      </c>
      <c r="G466" t="s">
        <v>80</v>
      </c>
      <c r="H466" t="s">
        <v>108</v>
      </c>
      <c r="I466" t="s">
        <v>119</v>
      </c>
    </row>
    <row r="467" spans="1:9" x14ac:dyDescent="0.25">
      <c r="A467" t="s">
        <v>893</v>
      </c>
      <c r="B467" t="s">
        <v>42</v>
      </c>
      <c r="C467" t="s">
        <v>60</v>
      </c>
      <c r="D467" t="s">
        <v>99</v>
      </c>
      <c r="E467" t="s">
        <v>51</v>
      </c>
      <c r="F467" t="s">
        <v>90</v>
      </c>
      <c r="G467" t="s">
        <v>80</v>
      </c>
      <c r="H467" t="s">
        <v>128</v>
      </c>
      <c r="I467" t="s">
        <v>108</v>
      </c>
    </row>
    <row r="468" spans="1:9" x14ac:dyDescent="0.25">
      <c r="A468" t="s">
        <v>894</v>
      </c>
      <c r="B468" t="s">
        <v>42</v>
      </c>
      <c r="C468" t="s">
        <v>60</v>
      </c>
      <c r="D468" t="s">
        <v>99</v>
      </c>
      <c r="E468" t="s">
        <v>51</v>
      </c>
      <c r="F468" t="s">
        <v>90</v>
      </c>
      <c r="G468" t="s">
        <v>80</v>
      </c>
      <c r="H468" t="s">
        <v>128</v>
      </c>
      <c r="I468" t="s">
        <v>119</v>
      </c>
    </row>
    <row r="469" spans="1:9" x14ac:dyDescent="0.25">
      <c r="A469" t="s">
        <v>895</v>
      </c>
      <c r="B469" t="s">
        <v>42</v>
      </c>
      <c r="C469" t="s">
        <v>60</v>
      </c>
      <c r="D469" t="s">
        <v>108</v>
      </c>
      <c r="E469" t="s">
        <v>51</v>
      </c>
      <c r="F469" t="s">
        <v>90</v>
      </c>
      <c r="G469" t="s">
        <v>80</v>
      </c>
      <c r="H469" t="s">
        <v>128</v>
      </c>
      <c r="I469" t="s">
        <v>119</v>
      </c>
    </row>
    <row r="470" spans="1:9" x14ac:dyDescent="0.25">
      <c r="A470" t="s">
        <v>896</v>
      </c>
      <c r="B470" t="s">
        <v>42</v>
      </c>
      <c r="C470" t="s">
        <v>60</v>
      </c>
      <c r="D470" t="s">
        <v>99</v>
      </c>
      <c r="E470" t="s">
        <v>51</v>
      </c>
      <c r="F470" t="s">
        <v>108</v>
      </c>
      <c r="G470" t="s">
        <v>80</v>
      </c>
      <c r="H470" t="s">
        <v>128</v>
      </c>
      <c r="I470" t="s">
        <v>119</v>
      </c>
    </row>
    <row r="471" spans="1:9" x14ac:dyDescent="0.25">
      <c r="A471" t="s">
        <v>897</v>
      </c>
      <c r="B471" t="s">
        <v>42</v>
      </c>
      <c r="C471" t="s">
        <v>60</v>
      </c>
      <c r="D471" t="s">
        <v>99</v>
      </c>
      <c r="E471" t="s">
        <v>51</v>
      </c>
      <c r="F471" t="s">
        <v>108</v>
      </c>
      <c r="G471" t="s">
        <v>90</v>
      </c>
      <c r="H471" t="s">
        <v>128</v>
      </c>
      <c r="I471" t="s">
        <v>119</v>
      </c>
    </row>
    <row r="472" spans="1:9" x14ac:dyDescent="0.25">
      <c r="A472" t="s">
        <v>898</v>
      </c>
      <c r="B472" t="s">
        <v>42</v>
      </c>
      <c r="C472" t="s">
        <v>69</v>
      </c>
      <c r="D472" t="s">
        <v>99</v>
      </c>
      <c r="E472" t="s">
        <v>51</v>
      </c>
      <c r="F472" t="s">
        <v>90</v>
      </c>
      <c r="G472" t="s">
        <v>80</v>
      </c>
      <c r="H472" t="s">
        <v>108</v>
      </c>
      <c r="I472" t="s">
        <v>119</v>
      </c>
    </row>
    <row r="473" spans="1:9" x14ac:dyDescent="0.25">
      <c r="A473" t="s">
        <v>899</v>
      </c>
      <c r="B473" t="s">
        <v>42</v>
      </c>
      <c r="C473" t="s">
        <v>69</v>
      </c>
      <c r="D473" t="s">
        <v>99</v>
      </c>
      <c r="E473" t="s">
        <v>51</v>
      </c>
      <c r="F473" t="s">
        <v>90</v>
      </c>
      <c r="G473" t="s">
        <v>80</v>
      </c>
      <c r="H473" t="s">
        <v>128</v>
      </c>
      <c r="I473" t="s">
        <v>108</v>
      </c>
    </row>
    <row r="474" spans="1:9" x14ac:dyDescent="0.25">
      <c r="A474" t="s">
        <v>900</v>
      </c>
      <c r="B474" t="s">
        <v>42</v>
      </c>
      <c r="C474" t="s">
        <v>69</v>
      </c>
      <c r="D474" t="s">
        <v>99</v>
      </c>
      <c r="E474" t="s">
        <v>51</v>
      </c>
      <c r="F474" t="s">
        <v>90</v>
      </c>
      <c r="G474" t="s">
        <v>80</v>
      </c>
      <c r="H474" t="s">
        <v>128</v>
      </c>
      <c r="I474" t="s">
        <v>119</v>
      </c>
    </row>
    <row r="475" spans="1:9" x14ac:dyDescent="0.25">
      <c r="A475" t="s">
        <v>901</v>
      </c>
      <c r="B475" t="s">
        <v>42</v>
      </c>
      <c r="C475" t="s">
        <v>69</v>
      </c>
      <c r="D475" t="s">
        <v>108</v>
      </c>
      <c r="E475" t="s">
        <v>51</v>
      </c>
      <c r="F475" t="s">
        <v>90</v>
      </c>
      <c r="G475" t="s">
        <v>80</v>
      </c>
      <c r="H475" t="s">
        <v>128</v>
      </c>
      <c r="I475" t="s">
        <v>119</v>
      </c>
    </row>
    <row r="476" spans="1:9" x14ac:dyDescent="0.25">
      <c r="A476" t="s">
        <v>902</v>
      </c>
      <c r="B476" t="s">
        <v>42</v>
      </c>
      <c r="C476" t="s">
        <v>69</v>
      </c>
      <c r="D476" t="s">
        <v>99</v>
      </c>
      <c r="E476" t="s">
        <v>51</v>
      </c>
      <c r="F476" t="s">
        <v>108</v>
      </c>
      <c r="G476" t="s">
        <v>80</v>
      </c>
      <c r="H476" t="s">
        <v>128</v>
      </c>
      <c r="I476" t="s">
        <v>119</v>
      </c>
    </row>
    <row r="477" spans="1:9" x14ac:dyDescent="0.25">
      <c r="A477" t="s">
        <v>903</v>
      </c>
      <c r="B477" t="s">
        <v>42</v>
      </c>
      <c r="C477" t="s">
        <v>69</v>
      </c>
      <c r="D477" t="s">
        <v>99</v>
      </c>
      <c r="E477" t="s">
        <v>51</v>
      </c>
      <c r="F477" t="s">
        <v>108</v>
      </c>
      <c r="G477" t="s">
        <v>90</v>
      </c>
      <c r="H477" t="s">
        <v>128</v>
      </c>
      <c r="I477" t="s">
        <v>119</v>
      </c>
    </row>
    <row r="478" spans="1:9" x14ac:dyDescent="0.25">
      <c r="A478" t="s">
        <v>904</v>
      </c>
      <c r="B478" t="s">
        <v>42</v>
      </c>
      <c r="C478" t="s">
        <v>80</v>
      </c>
      <c r="D478" t="s">
        <v>99</v>
      </c>
      <c r="E478" t="s">
        <v>51</v>
      </c>
      <c r="F478" t="s">
        <v>108</v>
      </c>
      <c r="G478" t="s">
        <v>90</v>
      </c>
      <c r="H478" t="s">
        <v>128</v>
      </c>
      <c r="I478" t="s">
        <v>119</v>
      </c>
    </row>
    <row r="479" spans="1:9" x14ac:dyDescent="0.25">
      <c r="A479" t="s">
        <v>905</v>
      </c>
      <c r="B479" t="s">
        <v>42</v>
      </c>
      <c r="C479" t="s">
        <v>60</v>
      </c>
      <c r="D479" t="s">
        <v>99</v>
      </c>
      <c r="E479" t="s">
        <v>69</v>
      </c>
      <c r="F479" t="s">
        <v>90</v>
      </c>
      <c r="G479" t="s">
        <v>80</v>
      </c>
      <c r="H479" t="s">
        <v>108</v>
      </c>
      <c r="I479" t="s">
        <v>119</v>
      </c>
    </row>
    <row r="480" spans="1:9" x14ac:dyDescent="0.25">
      <c r="A480" t="s">
        <v>906</v>
      </c>
      <c r="B480" t="s">
        <v>42</v>
      </c>
      <c r="C480" t="s">
        <v>60</v>
      </c>
      <c r="D480" t="s">
        <v>99</v>
      </c>
      <c r="E480" t="s">
        <v>69</v>
      </c>
      <c r="F480" t="s">
        <v>90</v>
      </c>
      <c r="G480" t="s">
        <v>80</v>
      </c>
      <c r="H480" t="s">
        <v>128</v>
      </c>
      <c r="I480" t="s">
        <v>108</v>
      </c>
    </row>
    <row r="481" spans="1:9" x14ac:dyDescent="0.25">
      <c r="A481" t="s">
        <v>907</v>
      </c>
      <c r="B481" t="s">
        <v>42</v>
      </c>
      <c r="C481" t="s">
        <v>60</v>
      </c>
      <c r="D481" t="s">
        <v>99</v>
      </c>
      <c r="E481" t="s">
        <v>69</v>
      </c>
      <c r="F481" t="s">
        <v>90</v>
      </c>
      <c r="G481" t="s">
        <v>80</v>
      </c>
      <c r="H481" t="s">
        <v>128</v>
      </c>
      <c r="I481" t="s">
        <v>119</v>
      </c>
    </row>
    <row r="482" spans="1:9" x14ac:dyDescent="0.25">
      <c r="A482" t="s">
        <v>908</v>
      </c>
      <c r="B482" t="s">
        <v>42</v>
      </c>
      <c r="C482" t="s">
        <v>60</v>
      </c>
      <c r="D482" t="s">
        <v>108</v>
      </c>
      <c r="E482" t="s">
        <v>69</v>
      </c>
      <c r="F482" t="s">
        <v>90</v>
      </c>
      <c r="G482" t="s">
        <v>80</v>
      </c>
      <c r="H482" t="s">
        <v>128</v>
      </c>
      <c r="I482" t="s">
        <v>119</v>
      </c>
    </row>
    <row r="483" spans="1:9" x14ac:dyDescent="0.25">
      <c r="A483" t="s">
        <v>909</v>
      </c>
      <c r="B483" t="s">
        <v>42</v>
      </c>
      <c r="C483" t="s">
        <v>60</v>
      </c>
      <c r="D483" t="s">
        <v>99</v>
      </c>
      <c r="E483" t="s">
        <v>69</v>
      </c>
      <c r="F483" t="s">
        <v>108</v>
      </c>
      <c r="G483" t="s">
        <v>80</v>
      </c>
      <c r="H483" t="s">
        <v>128</v>
      </c>
      <c r="I483" t="s">
        <v>119</v>
      </c>
    </row>
    <row r="484" spans="1:9" x14ac:dyDescent="0.25">
      <c r="A484" t="s">
        <v>910</v>
      </c>
      <c r="B484" t="s">
        <v>42</v>
      </c>
      <c r="C484" t="s">
        <v>60</v>
      </c>
      <c r="D484" t="s">
        <v>99</v>
      </c>
      <c r="E484" t="s">
        <v>69</v>
      </c>
      <c r="F484" t="s">
        <v>108</v>
      </c>
      <c r="G484" t="s">
        <v>90</v>
      </c>
      <c r="H484" t="s">
        <v>128</v>
      </c>
      <c r="I484" t="s">
        <v>119</v>
      </c>
    </row>
    <row r="485" spans="1:9" x14ac:dyDescent="0.25">
      <c r="A485" t="s">
        <v>911</v>
      </c>
      <c r="B485" t="s">
        <v>60</v>
      </c>
      <c r="C485" t="s">
        <v>80</v>
      </c>
      <c r="D485" t="s">
        <v>99</v>
      </c>
      <c r="E485" t="s">
        <v>42</v>
      </c>
      <c r="F485" t="s">
        <v>108</v>
      </c>
      <c r="G485" t="s">
        <v>90</v>
      </c>
      <c r="H485" t="s">
        <v>128</v>
      </c>
      <c r="I485" t="s">
        <v>119</v>
      </c>
    </row>
    <row r="486" spans="1:9" x14ac:dyDescent="0.25">
      <c r="A486" t="s">
        <v>912</v>
      </c>
      <c r="B486" t="s">
        <v>42</v>
      </c>
      <c r="C486" t="s">
        <v>80</v>
      </c>
      <c r="D486" t="s">
        <v>99</v>
      </c>
      <c r="E486" t="s">
        <v>69</v>
      </c>
      <c r="F486" t="s">
        <v>108</v>
      </c>
      <c r="G486" t="s">
        <v>90</v>
      </c>
      <c r="H486" t="s">
        <v>128</v>
      </c>
      <c r="I486" t="s">
        <v>119</v>
      </c>
    </row>
    <row r="487" spans="1:9" x14ac:dyDescent="0.25">
      <c r="A487" t="s">
        <v>913</v>
      </c>
      <c r="B487" t="s">
        <v>60</v>
      </c>
      <c r="C487" t="s">
        <v>69</v>
      </c>
      <c r="D487" t="s">
        <v>99</v>
      </c>
      <c r="E487" t="s">
        <v>51</v>
      </c>
      <c r="F487" t="s">
        <v>90</v>
      </c>
      <c r="G487" t="s">
        <v>80</v>
      </c>
      <c r="H487" t="s">
        <v>108</v>
      </c>
      <c r="I487" t="s">
        <v>119</v>
      </c>
    </row>
    <row r="488" spans="1:9" x14ac:dyDescent="0.25">
      <c r="A488" t="s">
        <v>914</v>
      </c>
      <c r="B488" t="s">
        <v>60</v>
      </c>
      <c r="C488" t="s">
        <v>69</v>
      </c>
      <c r="D488" t="s">
        <v>99</v>
      </c>
      <c r="E488" t="s">
        <v>51</v>
      </c>
      <c r="F488" t="s">
        <v>90</v>
      </c>
      <c r="G488" t="s">
        <v>80</v>
      </c>
      <c r="H488" t="s">
        <v>128</v>
      </c>
      <c r="I488" t="s">
        <v>108</v>
      </c>
    </row>
    <row r="489" spans="1:9" x14ac:dyDescent="0.25">
      <c r="A489" t="s">
        <v>915</v>
      </c>
      <c r="B489" t="s">
        <v>60</v>
      </c>
      <c r="C489" t="s">
        <v>69</v>
      </c>
      <c r="D489" t="s">
        <v>99</v>
      </c>
      <c r="E489" t="s">
        <v>51</v>
      </c>
      <c r="F489" t="s">
        <v>90</v>
      </c>
      <c r="G489" t="s">
        <v>80</v>
      </c>
      <c r="H489" t="s">
        <v>128</v>
      </c>
      <c r="I489" t="s">
        <v>119</v>
      </c>
    </row>
    <row r="490" spans="1:9" x14ac:dyDescent="0.25">
      <c r="A490" t="s">
        <v>916</v>
      </c>
      <c r="B490" t="s">
        <v>60</v>
      </c>
      <c r="C490" t="s">
        <v>69</v>
      </c>
      <c r="D490" t="s">
        <v>108</v>
      </c>
      <c r="E490" t="s">
        <v>51</v>
      </c>
      <c r="F490" t="s">
        <v>90</v>
      </c>
      <c r="G490" t="s">
        <v>80</v>
      </c>
      <c r="H490" t="s">
        <v>128</v>
      </c>
      <c r="I490" t="s">
        <v>119</v>
      </c>
    </row>
    <row r="491" spans="1:9" x14ac:dyDescent="0.25">
      <c r="A491" t="s">
        <v>917</v>
      </c>
      <c r="B491" t="s">
        <v>60</v>
      </c>
      <c r="C491" t="s">
        <v>69</v>
      </c>
      <c r="D491" t="s">
        <v>99</v>
      </c>
      <c r="E491" t="s">
        <v>51</v>
      </c>
      <c r="F491" t="s">
        <v>108</v>
      </c>
      <c r="G491" t="s">
        <v>80</v>
      </c>
      <c r="H491" t="s">
        <v>128</v>
      </c>
      <c r="I491" t="s">
        <v>119</v>
      </c>
    </row>
    <row r="492" spans="1:9" x14ac:dyDescent="0.25">
      <c r="A492" t="s">
        <v>918</v>
      </c>
      <c r="B492" t="s">
        <v>60</v>
      </c>
      <c r="C492" t="s">
        <v>69</v>
      </c>
      <c r="D492" t="s">
        <v>99</v>
      </c>
      <c r="E492" t="s">
        <v>51</v>
      </c>
      <c r="F492" t="s">
        <v>108</v>
      </c>
      <c r="G492" t="s">
        <v>90</v>
      </c>
      <c r="H492" t="s">
        <v>128</v>
      </c>
      <c r="I492" t="s">
        <v>119</v>
      </c>
    </row>
    <row r="493" spans="1:9" x14ac:dyDescent="0.25">
      <c r="A493" t="s">
        <v>919</v>
      </c>
      <c r="B493" t="s">
        <v>60</v>
      </c>
      <c r="C493" t="s">
        <v>80</v>
      </c>
      <c r="D493" t="s">
        <v>99</v>
      </c>
      <c r="E493" t="s">
        <v>51</v>
      </c>
      <c r="F493" t="s">
        <v>108</v>
      </c>
      <c r="G493" t="s">
        <v>90</v>
      </c>
      <c r="H493" t="s">
        <v>128</v>
      </c>
      <c r="I493" t="s">
        <v>119</v>
      </c>
    </row>
    <row r="494" spans="1:9" x14ac:dyDescent="0.25">
      <c r="A494" t="s">
        <v>920</v>
      </c>
      <c r="B494" t="s">
        <v>69</v>
      </c>
      <c r="C494" t="s">
        <v>80</v>
      </c>
      <c r="D494" t="s">
        <v>99</v>
      </c>
      <c r="E494" t="s">
        <v>51</v>
      </c>
      <c r="F494" t="s">
        <v>108</v>
      </c>
      <c r="G494" t="s">
        <v>90</v>
      </c>
      <c r="H494" t="s">
        <v>128</v>
      </c>
      <c r="I494" t="s">
        <v>119</v>
      </c>
    </row>
    <row r="495" spans="1:9" x14ac:dyDescent="0.25">
      <c r="A495" t="s">
        <v>921</v>
      </c>
      <c r="B495" t="s">
        <v>60</v>
      </c>
      <c r="C495" t="s">
        <v>80</v>
      </c>
      <c r="D495" t="s">
        <v>99</v>
      </c>
      <c r="E495" t="s">
        <v>69</v>
      </c>
      <c r="F495" t="s">
        <v>108</v>
      </c>
      <c r="G495" t="s">
        <v>90</v>
      </c>
      <c r="H495" t="s">
        <v>128</v>
      </c>
      <c r="I495" t="s">
        <v>119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12"/>
  <sheetViews>
    <sheetView workbookViewId="0">
      <selection activeCell="L10" sqref="L10"/>
    </sheetView>
  </sheetViews>
  <sheetFormatPr defaultColWidth="9.140625" defaultRowHeight="15" x14ac:dyDescent="0.25"/>
  <cols>
    <col min="1" max="1" width="9.5703125" bestFit="1" customWidth="1"/>
    <col min="2" max="2" width="28.85546875" bestFit="1" customWidth="1"/>
    <col min="3" max="3" width="8.28515625" bestFit="1" customWidth="1"/>
    <col min="4" max="4" width="16.140625" bestFit="1" customWidth="1"/>
    <col min="5" max="5" width="19.5703125" bestFit="1" customWidth="1"/>
    <col min="6" max="6" width="28.140625" bestFit="1" customWidth="1"/>
    <col min="7" max="7" width="19.42578125" bestFit="1" customWidth="1"/>
    <col min="8" max="8" width="15.7109375" bestFit="1" customWidth="1"/>
  </cols>
  <sheetData>
    <row r="1" spans="1:9" ht="16.5" customHeight="1" x14ac:dyDescent="0.25">
      <c r="A1" s="2" t="s">
        <v>184</v>
      </c>
      <c r="B1" s="2" t="s">
        <v>922</v>
      </c>
      <c r="C1" s="2" t="s">
        <v>923</v>
      </c>
      <c r="D1" s="2" t="s">
        <v>924</v>
      </c>
      <c r="E1" s="2" t="s">
        <v>925</v>
      </c>
      <c r="F1" s="2" t="s">
        <v>926</v>
      </c>
      <c r="G1" s="2" t="s">
        <v>927</v>
      </c>
      <c r="H1" s="2" t="s">
        <v>928</v>
      </c>
      <c r="I1" s="2"/>
    </row>
    <row r="2" spans="1:9" x14ac:dyDescent="0.25">
      <c r="A2">
        <v>1</v>
      </c>
      <c r="B2" t="s">
        <v>100</v>
      </c>
      <c r="C2" t="s">
        <v>929</v>
      </c>
      <c r="D2">
        <v>1877.32</v>
      </c>
      <c r="E2">
        <v>1870</v>
      </c>
      <c r="F2">
        <v>7.32</v>
      </c>
      <c r="G2" t="s">
        <v>930</v>
      </c>
      <c r="H2" t="s">
        <v>931</v>
      </c>
    </row>
    <row r="3" spans="1:9" x14ac:dyDescent="0.25">
      <c r="A3">
        <v>2</v>
      </c>
      <c r="B3" t="s">
        <v>91</v>
      </c>
      <c r="C3" t="s">
        <v>932</v>
      </c>
      <c r="D3">
        <v>1876.4</v>
      </c>
      <c r="E3">
        <v>1877.18</v>
      </c>
      <c r="F3">
        <v>-0.78</v>
      </c>
      <c r="G3" t="s">
        <v>933</v>
      </c>
      <c r="H3" t="s">
        <v>931</v>
      </c>
    </row>
    <row r="4" spans="1:9" x14ac:dyDescent="0.25">
      <c r="A4">
        <v>3</v>
      </c>
      <c r="B4" t="s">
        <v>109</v>
      </c>
      <c r="C4" t="s">
        <v>934</v>
      </c>
      <c r="D4">
        <v>1874.81</v>
      </c>
      <c r="E4">
        <v>1873.33</v>
      </c>
      <c r="F4">
        <v>1.48</v>
      </c>
      <c r="G4" t="s">
        <v>933</v>
      </c>
      <c r="H4" t="s">
        <v>935</v>
      </c>
    </row>
    <row r="5" spans="1:9" x14ac:dyDescent="0.25">
      <c r="A5">
        <v>4</v>
      </c>
      <c r="B5" t="s">
        <v>129</v>
      </c>
      <c r="C5" t="s">
        <v>936</v>
      </c>
      <c r="D5">
        <v>1825.97</v>
      </c>
      <c r="E5">
        <v>1834.12</v>
      </c>
      <c r="F5">
        <v>-8.15</v>
      </c>
      <c r="G5" t="s">
        <v>937</v>
      </c>
      <c r="H5" t="s">
        <v>931</v>
      </c>
    </row>
    <row r="6" spans="1:9" x14ac:dyDescent="0.25">
      <c r="A6">
        <v>5</v>
      </c>
      <c r="B6" t="s">
        <v>120</v>
      </c>
      <c r="C6" t="s">
        <v>938</v>
      </c>
      <c r="D6">
        <v>1763.83</v>
      </c>
      <c r="E6">
        <v>1760.38</v>
      </c>
      <c r="F6">
        <v>3.45</v>
      </c>
      <c r="G6" t="s">
        <v>939</v>
      </c>
      <c r="H6" t="s">
        <v>931</v>
      </c>
    </row>
    <row r="7" spans="1:9" x14ac:dyDescent="0.25">
      <c r="A7">
        <v>6</v>
      </c>
      <c r="B7" t="s">
        <v>43</v>
      </c>
      <c r="C7" t="s">
        <v>940</v>
      </c>
      <c r="D7">
        <v>1761.16</v>
      </c>
      <c r="E7">
        <v>1760.46</v>
      </c>
      <c r="F7">
        <v>0.7</v>
      </c>
      <c r="G7" t="s">
        <v>933</v>
      </c>
      <c r="H7" t="s">
        <v>935</v>
      </c>
    </row>
    <row r="8" spans="1:9" x14ac:dyDescent="0.25">
      <c r="A8">
        <v>7</v>
      </c>
      <c r="B8" t="s">
        <v>70</v>
      </c>
      <c r="C8" t="s">
        <v>941</v>
      </c>
      <c r="D8">
        <v>1757.87</v>
      </c>
      <c r="E8">
        <v>1756.27</v>
      </c>
      <c r="F8">
        <v>1.6</v>
      </c>
      <c r="G8" t="s">
        <v>937</v>
      </c>
      <c r="H8" t="s">
        <v>931</v>
      </c>
    </row>
    <row r="9" spans="1:9" x14ac:dyDescent="0.25">
      <c r="A9">
        <v>8</v>
      </c>
      <c r="B9" t="s">
        <v>44</v>
      </c>
      <c r="C9" t="s">
        <v>942</v>
      </c>
      <c r="D9">
        <v>1755.87</v>
      </c>
      <c r="E9">
        <v>1736.57</v>
      </c>
      <c r="F9">
        <v>19.3</v>
      </c>
      <c r="G9" t="s">
        <v>937</v>
      </c>
      <c r="H9" t="s">
        <v>943</v>
      </c>
    </row>
    <row r="10" spans="1:9" x14ac:dyDescent="0.25">
      <c r="A10">
        <v>9</v>
      </c>
      <c r="B10" t="s">
        <v>81</v>
      </c>
      <c r="C10" t="s">
        <v>944</v>
      </c>
      <c r="D10">
        <v>1734.71</v>
      </c>
      <c r="E10">
        <v>1730.71</v>
      </c>
      <c r="F10">
        <v>4</v>
      </c>
      <c r="G10" t="s">
        <v>937</v>
      </c>
      <c r="H10" t="s">
        <v>931</v>
      </c>
    </row>
    <row r="11" spans="1:9" x14ac:dyDescent="0.25">
      <c r="A11">
        <v>10</v>
      </c>
      <c r="B11" t="s">
        <v>61</v>
      </c>
      <c r="C11" t="s">
        <v>945</v>
      </c>
      <c r="D11">
        <v>1730.37</v>
      </c>
      <c r="E11">
        <v>1724.15</v>
      </c>
      <c r="F11">
        <v>6.22</v>
      </c>
      <c r="G11" t="s">
        <v>937</v>
      </c>
      <c r="H11" t="s">
        <v>931</v>
      </c>
    </row>
    <row r="12" spans="1:9" x14ac:dyDescent="0.25">
      <c r="A12">
        <v>11</v>
      </c>
      <c r="B12" t="s">
        <v>131</v>
      </c>
      <c r="C12" t="s">
        <v>946</v>
      </c>
      <c r="D12">
        <v>1717.07</v>
      </c>
      <c r="E12">
        <v>1716.88</v>
      </c>
      <c r="F12">
        <v>0.19</v>
      </c>
      <c r="G12" t="s">
        <v>937</v>
      </c>
      <c r="H12" t="s">
        <v>931</v>
      </c>
    </row>
    <row r="13" spans="1:9" x14ac:dyDescent="0.25">
      <c r="A13">
        <v>12</v>
      </c>
      <c r="B13" t="s">
        <v>947</v>
      </c>
      <c r="C13" t="s">
        <v>948</v>
      </c>
      <c r="D13">
        <v>1700.37</v>
      </c>
      <c r="E13">
        <v>1702.06</v>
      </c>
      <c r="F13">
        <v>-1.69</v>
      </c>
      <c r="G13" t="s">
        <v>939</v>
      </c>
      <c r="H13" t="s">
        <v>931</v>
      </c>
    </row>
    <row r="14" spans="1:9" x14ac:dyDescent="0.25">
      <c r="A14">
        <v>13</v>
      </c>
      <c r="B14" t="s">
        <v>124</v>
      </c>
      <c r="C14" t="s">
        <v>949</v>
      </c>
      <c r="D14">
        <v>1693.09</v>
      </c>
      <c r="E14">
        <v>1701.3</v>
      </c>
      <c r="F14">
        <v>-8.2100000000000009</v>
      </c>
      <c r="G14" t="s">
        <v>939</v>
      </c>
      <c r="H14" t="s">
        <v>935</v>
      </c>
    </row>
    <row r="15" spans="1:9" x14ac:dyDescent="0.25">
      <c r="A15">
        <v>14</v>
      </c>
      <c r="B15" t="s">
        <v>102</v>
      </c>
      <c r="C15" t="s">
        <v>950</v>
      </c>
      <c r="D15">
        <v>1688.99</v>
      </c>
      <c r="E15">
        <v>1706.83</v>
      </c>
      <c r="F15">
        <v>-17.84</v>
      </c>
      <c r="G15" t="s">
        <v>951</v>
      </c>
      <c r="H15" t="s">
        <v>943</v>
      </c>
    </row>
    <row r="16" spans="1:9" x14ac:dyDescent="0.25">
      <c r="A16">
        <v>15</v>
      </c>
      <c r="B16" t="s">
        <v>20</v>
      </c>
      <c r="C16" t="s">
        <v>952</v>
      </c>
      <c r="D16">
        <v>1681.03</v>
      </c>
      <c r="E16">
        <v>1675.75</v>
      </c>
      <c r="F16">
        <v>5.28</v>
      </c>
      <c r="G16" t="s">
        <v>939</v>
      </c>
      <c r="H16" t="s">
        <v>953</v>
      </c>
    </row>
    <row r="17" spans="1:8" x14ac:dyDescent="0.25">
      <c r="A17">
        <v>16</v>
      </c>
      <c r="B17" t="s">
        <v>954</v>
      </c>
      <c r="C17" t="s">
        <v>955</v>
      </c>
      <c r="D17">
        <v>1673.13</v>
      </c>
      <c r="E17">
        <v>1681.88</v>
      </c>
      <c r="F17">
        <v>-8.75</v>
      </c>
      <c r="G17" t="s">
        <v>933</v>
      </c>
      <c r="H17" t="s">
        <v>953</v>
      </c>
    </row>
    <row r="18" spans="1:8" x14ac:dyDescent="0.25">
      <c r="A18">
        <v>17</v>
      </c>
      <c r="B18" t="s">
        <v>96</v>
      </c>
      <c r="C18" t="s">
        <v>956</v>
      </c>
      <c r="D18">
        <v>1673.07</v>
      </c>
      <c r="E18">
        <v>1672.62</v>
      </c>
      <c r="F18">
        <v>0.45</v>
      </c>
      <c r="G18" t="s">
        <v>937</v>
      </c>
      <c r="H18" t="s">
        <v>935</v>
      </c>
    </row>
    <row r="19" spans="1:8" x14ac:dyDescent="0.25">
      <c r="A19">
        <v>18</v>
      </c>
      <c r="B19" t="s">
        <v>72</v>
      </c>
      <c r="C19" t="s">
        <v>957</v>
      </c>
      <c r="D19">
        <v>1660.43</v>
      </c>
      <c r="E19">
        <v>1650.12</v>
      </c>
      <c r="F19">
        <v>10.31</v>
      </c>
      <c r="G19" t="s">
        <v>939</v>
      </c>
      <c r="H19" t="s">
        <v>958</v>
      </c>
    </row>
    <row r="20" spans="1:8" x14ac:dyDescent="0.25">
      <c r="A20">
        <v>19</v>
      </c>
      <c r="B20" t="s">
        <v>37</v>
      </c>
      <c r="C20" t="s">
        <v>959</v>
      </c>
      <c r="D20">
        <v>1649.4</v>
      </c>
      <c r="E20">
        <v>1654.69</v>
      </c>
      <c r="F20">
        <v>-5.29</v>
      </c>
      <c r="G20" t="s">
        <v>933</v>
      </c>
      <c r="H20" t="s">
        <v>931</v>
      </c>
    </row>
    <row r="21" spans="1:8" x14ac:dyDescent="0.25">
      <c r="A21">
        <v>20</v>
      </c>
      <c r="B21" t="s">
        <v>960</v>
      </c>
      <c r="C21" t="s">
        <v>961</v>
      </c>
      <c r="D21">
        <v>1620.81</v>
      </c>
      <c r="E21">
        <v>1616.75</v>
      </c>
      <c r="F21">
        <v>4.0599999999999996</v>
      </c>
      <c r="G21" t="s">
        <v>939</v>
      </c>
      <c r="H21" t="s">
        <v>931</v>
      </c>
    </row>
    <row r="22" spans="1:8" x14ac:dyDescent="0.25">
      <c r="A22">
        <v>21</v>
      </c>
      <c r="B22" t="s">
        <v>962</v>
      </c>
      <c r="C22" t="s">
        <v>963</v>
      </c>
      <c r="D22">
        <v>1615.3</v>
      </c>
      <c r="E22">
        <v>1617.02</v>
      </c>
      <c r="F22">
        <v>-1.72</v>
      </c>
      <c r="G22" t="s">
        <v>933</v>
      </c>
      <c r="H22" t="s">
        <v>958</v>
      </c>
    </row>
    <row r="23" spans="1:8" x14ac:dyDescent="0.25">
      <c r="A23">
        <v>22</v>
      </c>
      <c r="B23" t="s">
        <v>57</v>
      </c>
      <c r="C23" t="s">
        <v>964</v>
      </c>
      <c r="D23">
        <v>1599.04</v>
      </c>
      <c r="E23">
        <v>1582.69</v>
      </c>
      <c r="F23">
        <v>16.350000000000001</v>
      </c>
      <c r="G23" t="s">
        <v>965</v>
      </c>
      <c r="H23" t="s">
        <v>931</v>
      </c>
    </row>
    <row r="24" spans="1:8" x14ac:dyDescent="0.25">
      <c r="A24">
        <v>23</v>
      </c>
      <c r="B24" t="s">
        <v>67</v>
      </c>
      <c r="C24" t="s">
        <v>966</v>
      </c>
      <c r="D24">
        <v>1594.78</v>
      </c>
      <c r="E24">
        <v>1591.73</v>
      </c>
      <c r="F24">
        <v>3.05</v>
      </c>
      <c r="G24" t="s">
        <v>937</v>
      </c>
      <c r="H24" t="s">
        <v>935</v>
      </c>
    </row>
    <row r="25" spans="1:8" x14ac:dyDescent="0.25">
      <c r="A25">
        <v>24</v>
      </c>
      <c r="B25" t="s">
        <v>113</v>
      </c>
      <c r="C25" t="s">
        <v>967</v>
      </c>
      <c r="D25">
        <v>1593.45</v>
      </c>
      <c r="E25">
        <v>1585.51</v>
      </c>
      <c r="F25">
        <v>7.94</v>
      </c>
      <c r="G25" t="s">
        <v>937</v>
      </c>
      <c r="H25" t="s">
        <v>931</v>
      </c>
    </row>
    <row r="26" spans="1:8" x14ac:dyDescent="0.25">
      <c r="A26">
        <v>25</v>
      </c>
      <c r="B26" t="s">
        <v>968</v>
      </c>
      <c r="C26" t="s">
        <v>969</v>
      </c>
      <c r="D26">
        <v>1588.66</v>
      </c>
      <c r="E26">
        <v>1599.45</v>
      </c>
      <c r="F26">
        <v>-10.79</v>
      </c>
      <c r="G26" t="s">
        <v>970</v>
      </c>
      <c r="H26" t="s">
        <v>958</v>
      </c>
    </row>
    <row r="27" spans="1:8" x14ac:dyDescent="0.25">
      <c r="A27">
        <v>26</v>
      </c>
      <c r="B27" t="s">
        <v>971</v>
      </c>
      <c r="C27" t="s">
        <v>972</v>
      </c>
      <c r="D27">
        <v>1585.09</v>
      </c>
      <c r="E27">
        <v>1581.55</v>
      </c>
      <c r="F27">
        <v>3.54</v>
      </c>
      <c r="G27" t="s">
        <v>937</v>
      </c>
      <c r="H27" t="s">
        <v>943</v>
      </c>
    </row>
    <row r="28" spans="1:8" x14ac:dyDescent="0.25">
      <c r="A28">
        <v>27</v>
      </c>
      <c r="B28" t="s">
        <v>56</v>
      </c>
      <c r="C28" t="s">
        <v>973</v>
      </c>
      <c r="D28">
        <v>1580.67</v>
      </c>
      <c r="E28">
        <v>1574.01</v>
      </c>
      <c r="F28">
        <v>6.66</v>
      </c>
      <c r="G28" t="s">
        <v>937</v>
      </c>
      <c r="H28" t="s">
        <v>958</v>
      </c>
    </row>
    <row r="29" spans="1:8" x14ac:dyDescent="0.25">
      <c r="A29">
        <v>28</v>
      </c>
      <c r="B29" t="s">
        <v>111</v>
      </c>
      <c r="C29" t="s">
        <v>974</v>
      </c>
      <c r="D29">
        <v>1564.26</v>
      </c>
      <c r="E29">
        <v>1560.91</v>
      </c>
      <c r="F29">
        <v>3.35</v>
      </c>
      <c r="G29" t="s">
        <v>937</v>
      </c>
      <c r="H29" t="s">
        <v>943</v>
      </c>
    </row>
    <row r="30" spans="1:8" x14ac:dyDescent="0.25">
      <c r="A30">
        <v>29</v>
      </c>
      <c r="B30" t="s">
        <v>83</v>
      </c>
      <c r="C30" t="s">
        <v>975</v>
      </c>
      <c r="D30">
        <v>1563.24</v>
      </c>
      <c r="E30">
        <v>1556.71</v>
      </c>
      <c r="F30">
        <v>6.53</v>
      </c>
      <c r="G30" t="s">
        <v>930</v>
      </c>
      <c r="H30" t="s">
        <v>943</v>
      </c>
    </row>
    <row r="31" spans="1:8" x14ac:dyDescent="0.25">
      <c r="A31">
        <v>30</v>
      </c>
      <c r="B31" t="s">
        <v>32</v>
      </c>
      <c r="C31" t="s">
        <v>976</v>
      </c>
      <c r="D31">
        <v>1556.48</v>
      </c>
      <c r="E31">
        <v>1559.15</v>
      </c>
      <c r="F31">
        <v>-2.67</v>
      </c>
      <c r="G31" t="s">
        <v>933</v>
      </c>
      <c r="H31" t="s">
        <v>953</v>
      </c>
    </row>
    <row r="32" spans="1:8" x14ac:dyDescent="0.25">
      <c r="A32">
        <v>31</v>
      </c>
      <c r="B32" t="s">
        <v>106</v>
      </c>
      <c r="C32" t="s">
        <v>977</v>
      </c>
      <c r="D32">
        <v>1550.94</v>
      </c>
      <c r="E32">
        <v>1553.14</v>
      </c>
      <c r="F32">
        <v>-2.2000000000000002</v>
      </c>
      <c r="G32" t="s">
        <v>939</v>
      </c>
      <c r="H32" t="s">
        <v>931</v>
      </c>
    </row>
    <row r="33" spans="1:8" x14ac:dyDescent="0.25">
      <c r="A33">
        <v>32</v>
      </c>
      <c r="B33" t="s">
        <v>978</v>
      </c>
      <c r="C33" t="s">
        <v>979</v>
      </c>
      <c r="D33">
        <v>1546.88</v>
      </c>
      <c r="E33">
        <v>1557.47</v>
      </c>
      <c r="F33">
        <v>-10.59</v>
      </c>
      <c r="G33" t="s">
        <v>951</v>
      </c>
      <c r="H33" t="s">
        <v>931</v>
      </c>
    </row>
    <row r="34" spans="1:8" x14ac:dyDescent="0.25">
      <c r="A34">
        <v>33</v>
      </c>
      <c r="B34" t="s">
        <v>134</v>
      </c>
      <c r="C34" t="s">
        <v>980</v>
      </c>
      <c r="D34">
        <v>1540.64</v>
      </c>
      <c r="E34">
        <v>1539.47</v>
      </c>
      <c r="F34">
        <v>1.17</v>
      </c>
      <c r="G34" t="s">
        <v>937</v>
      </c>
      <c r="H34" t="s">
        <v>953</v>
      </c>
    </row>
    <row r="35" spans="1:8" x14ac:dyDescent="0.25">
      <c r="A35">
        <v>34</v>
      </c>
      <c r="B35" t="s">
        <v>65</v>
      </c>
      <c r="C35" t="s">
        <v>981</v>
      </c>
      <c r="D35">
        <v>1532.98</v>
      </c>
      <c r="E35">
        <v>1522.48</v>
      </c>
      <c r="F35">
        <v>10.5</v>
      </c>
      <c r="G35" t="s">
        <v>965</v>
      </c>
      <c r="H35" t="s">
        <v>943</v>
      </c>
    </row>
    <row r="36" spans="1:8" x14ac:dyDescent="0.25">
      <c r="A36">
        <v>35</v>
      </c>
      <c r="B36" t="s">
        <v>982</v>
      </c>
      <c r="C36" t="s">
        <v>983</v>
      </c>
      <c r="D36">
        <v>1528</v>
      </c>
      <c r="E36">
        <v>1532.04</v>
      </c>
      <c r="F36">
        <v>-4.04</v>
      </c>
      <c r="G36" t="s">
        <v>933</v>
      </c>
      <c r="H36" t="s">
        <v>931</v>
      </c>
    </row>
    <row r="37" spans="1:8" x14ac:dyDescent="0.25">
      <c r="A37">
        <v>36</v>
      </c>
      <c r="B37" t="s">
        <v>984</v>
      </c>
      <c r="C37" t="s">
        <v>985</v>
      </c>
      <c r="D37">
        <v>1525.6</v>
      </c>
      <c r="E37">
        <v>1524.52</v>
      </c>
      <c r="F37">
        <v>1.08</v>
      </c>
      <c r="G37" t="s">
        <v>937</v>
      </c>
      <c r="H37" t="s">
        <v>931</v>
      </c>
    </row>
    <row r="38" spans="1:8" x14ac:dyDescent="0.25">
      <c r="A38">
        <v>37</v>
      </c>
      <c r="B38" t="s">
        <v>986</v>
      </c>
      <c r="C38" t="s">
        <v>987</v>
      </c>
      <c r="D38">
        <v>1524.29</v>
      </c>
      <c r="E38">
        <v>1529.71</v>
      </c>
      <c r="F38">
        <v>-5.42</v>
      </c>
      <c r="G38" t="s">
        <v>951</v>
      </c>
      <c r="H38" t="s">
        <v>931</v>
      </c>
    </row>
    <row r="39" spans="1:8" x14ac:dyDescent="0.25">
      <c r="A39">
        <v>38</v>
      </c>
      <c r="B39" t="s">
        <v>74</v>
      </c>
      <c r="C39" t="s">
        <v>988</v>
      </c>
      <c r="D39">
        <v>1514.77</v>
      </c>
      <c r="E39">
        <v>1487.13</v>
      </c>
      <c r="F39">
        <v>27.64</v>
      </c>
      <c r="G39" t="s">
        <v>989</v>
      </c>
      <c r="H39" t="s">
        <v>931</v>
      </c>
    </row>
    <row r="40" spans="1:8" x14ac:dyDescent="0.25">
      <c r="A40">
        <v>39</v>
      </c>
      <c r="B40" t="s">
        <v>990</v>
      </c>
      <c r="C40" t="s">
        <v>991</v>
      </c>
      <c r="D40">
        <v>1508.65</v>
      </c>
      <c r="E40">
        <v>1506.34</v>
      </c>
      <c r="F40">
        <v>2.31</v>
      </c>
      <c r="G40" t="s">
        <v>937</v>
      </c>
      <c r="H40" t="s">
        <v>931</v>
      </c>
    </row>
    <row r="41" spans="1:8" x14ac:dyDescent="0.25">
      <c r="A41">
        <v>40</v>
      </c>
      <c r="B41" t="s">
        <v>54</v>
      </c>
      <c r="C41" t="s">
        <v>992</v>
      </c>
      <c r="D41">
        <v>1503.5</v>
      </c>
      <c r="E41">
        <v>1501.5</v>
      </c>
      <c r="F41">
        <v>2</v>
      </c>
      <c r="G41" t="s">
        <v>937</v>
      </c>
      <c r="H41" t="s">
        <v>935</v>
      </c>
    </row>
    <row r="42" spans="1:8" x14ac:dyDescent="0.25">
      <c r="A42">
        <v>41</v>
      </c>
      <c r="B42" t="s">
        <v>26</v>
      </c>
      <c r="C42" t="s">
        <v>993</v>
      </c>
      <c r="D42">
        <v>1501.38</v>
      </c>
      <c r="E42">
        <v>1487</v>
      </c>
      <c r="F42">
        <v>14.38</v>
      </c>
      <c r="G42" t="s">
        <v>930</v>
      </c>
      <c r="H42" t="s">
        <v>931</v>
      </c>
    </row>
    <row r="43" spans="1:8" x14ac:dyDescent="0.25">
      <c r="A43">
        <v>42</v>
      </c>
      <c r="B43" t="s">
        <v>994</v>
      </c>
      <c r="C43" t="s">
        <v>995</v>
      </c>
      <c r="D43">
        <v>1500.58</v>
      </c>
      <c r="E43">
        <v>1496.29</v>
      </c>
      <c r="F43">
        <v>4.29</v>
      </c>
      <c r="G43" t="s">
        <v>933</v>
      </c>
      <c r="H43" t="s">
        <v>931</v>
      </c>
    </row>
    <row r="44" spans="1:8" x14ac:dyDescent="0.25">
      <c r="A44">
        <v>43</v>
      </c>
      <c r="B44" t="s">
        <v>47</v>
      </c>
      <c r="C44" t="s">
        <v>996</v>
      </c>
      <c r="D44">
        <v>1498.35</v>
      </c>
      <c r="E44">
        <v>1506.77</v>
      </c>
      <c r="F44">
        <v>-8.42</v>
      </c>
      <c r="G44" t="s">
        <v>997</v>
      </c>
      <c r="H44" t="s">
        <v>931</v>
      </c>
    </row>
    <row r="45" spans="1:8" x14ac:dyDescent="0.25">
      <c r="A45">
        <v>44</v>
      </c>
      <c r="B45" t="s">
        <v>76</v>
      </c>
      <c r="C45" t="s">
        <v>998</v>
      </c>
      <c r="D45">
        <v>1483.05</v>
      </c>
      <c r="E45">
        <v>1479.04</v>
      </c>
      <c r="F45">
        <v>4.01</v>
      </c>
      <c r="G45" t="s">
        <v>965</v>
      </c>
      <c r="H45" t="s">
        <v>943</v>
      </c>
    </row>
    <row r="46" spans="1:8" x14ac:dyDescent="0.25">
      <c r="A46">
        <v>45</v>
      </c>
      <c r="B46" t="s">
        <v>999</v>
      </c>
      <c r="C46" t="s">
        <v>1000</v>
      </c>
      <c r="D46">
        <v>1481.24</v>
      </c>
      <c r="E46">
        <v>1482.39</v>
      </c>
      <c r="F46">
        <v>-1.1499999999999999</v>
      </c>
      <c r="G46" t="s">
        <v>937</v>
      </c>
      <c r="H46" t="s">
        <v>943</v>
      </c>
    </row>
    <row r="47" spans="1:8" x14ac:dyDescent="0.25">
      <c r="A47">
        <v>46</v>
      </c>
      <c r="B47" t="s">
        <v>1001</v>
      </c>
      <c r="C47" t="s">
        <v>1002</v>
      </c>
      <c r="D47">
        <v>1478.35</v>
      </c>
      <c r="E47">
        <v>1468.22</v>
      </c>
      <c r="F47">
        <v>10.130000000000001</v>
      </c>
      <c r="G47" t="s">
        <v>930</v>
      </c>
      <c r="H47" t="s">
        <v>943</v>
      </c>
    </row>
    <row r="48" spans="1:8" x14ac:dyDescent="0.25">
      <c r="A48">
        <v>47</v>
      </c>
      <c r="B48" t="s">
        <v>1003</v>
      </c>
      <c r="C48" t="s">
        <v>1004</v>
      </c>
      <c r="D48">
        <v>1475.82</v>
      </c>
      <c r="E48">
        <v>1480.38</v>
      </c>
      <c r="F48">
        <v>-4.5599999999999996</v>
      </c>
      <c r="G48" t="s">
        <v>933</v>
      </c>
      <c r="H48" t="s">
        <v>931</v>
      </c>
    </row>
    <row r="49" spans="1:8" x14ac:dyDescent="0.25">
      <c r="A49">
        <v>48</v>
      </c>
      <c r="B49" t="s">
        <v>1005</v>
      </c>
      <c r="C49" t="s">
        <v>1006</v>
      </c>
      <c r="D49">
        <v>1473.94</v>
      </c>
      <c r="E49">
        <v>1485.65</v>
      </c>
      <c r="F49">
        <v>-11.71</v>
      </c>
      <c r="G49" t="s">
        <v>1007</v>
      </c>
      <c r="H49" t="s">
        <v>931</v>
      </c>
    </row>
    <row r="50" spans="1:8" x14ac:dyDescent="0.25">
      <c r="A50">
        <v>49</v>
      </c>
      <c r="B50" t="s">
        <v>1008</v>
      </c>
      <c r="C50" t="s">
        <v>1009</v>
      </c>
      <c r="D50">
        <v>1468.05</v>
      </c>
      <c r="E50">
        <v>1465.22</v>
      </c>
      <c r="F50">
        <v>2.83</v>
      </c>
      <c r="G50" t="s">
        <v>939</v>
      </c>
      <c r="H50" t="s">
        <v>935</v>
      </c>
    </row>
    <row r="51" spans="1:8" x14ac:dyDescent="0.25">
      <c r="A51">
        <v>50</v>
      </c>
      <c r="B51" t="s">
        <v>122</v>
      </c>
      <c r="C51" t="s">
        <v>1010</v>
      </c>
      <c r="D51">
        <v>1465.34</v>
      </c>
      <c r="E51">
        <v>1462.03</v>
      </c>
      <c r="F51">
        <v>3.31</v>
      </c>
      <c r="G51" t="s">
        <v>930</v>
      </c>
      <c r="H51" t="s">
        <v>958</v>
      </c>
    </row>
    <row r="52" spans="1:8" x14ac:dyDescent="0.25">
      <c r="A52">
        <v>51</v>
      </c>
      <c r="B52" t="s">
        <v>1011</v>
      </c>
      <c r="C52" t="s">
        <v>1012</v>
      </c>
      <c r="D52">
        <v>1459.9</v>
      </c>
      <c r="E52">
        <v>1464.24</v>
      </c>
      <c r="F52">
        <v>-4.34</v>
      </c>
      <c r="G52" t="s">
        <v>937</v>
      </c>
      <c r="H52" t="s">
        <v>953</v>
      </c>
    </row>
    <row r="53" spans="1:8" x14ac:dyDescent="0.25">
      <c r="A53">
        <v>52</v>
      </c>
      <c r="B53" t="s">
        <v>1013</v>
      </c>
      <c r="C53" t="s">
        <v>1014</v>
      </c>
      <c r="D53">
        <v>1459.13</v>
      </c>
      <c r="E53">
        <v>1458.48</v>
      </c>
      <c r="F53">
        <v>0.65</v>
      </c>
      <c r="G53" t="s">
        <v>930</v>
      </c>
      <c r="H53" t="s">
        <v>943</v>
      </c>
    </row>
    <row r="54" spans="1:8" x14ac:dyDescent="0.25">
      <c r="A54">
        <v>53</v>
      </c>
      <c r="B54" t="s">
        <v>1015</v>
      </c>
      <c r="C54" t="s">
        <v>1016</v>
      </c>
      <c r="D54">
        <v>1455.87</v>
      </c>
      <c r="E54">
        <v>1459.57</v>
      </c>
      <c r="F54">
        <v>-3.7</v>
      </c>
      <c r="G54" t="s">
        <v>937</v>
      </c>
      <c r="H54" t="s">
        <v>935</v>
      </c>
    </row>
    <row r="55" spans="1:8" x14ac:dyDescent="0.25">
      <c r="A55">
        <v>54</v>
      </c>
      <c r="B55" t="s">
        <v>1017</v>
      </c>
      <c r="C55" t="s">
        <v>1018</v>
      </c>
      <c r="D55">
        <v>1455.28</v>
      </c>
      <c r="E55">
        <v>1457.84</v>
      </c>
      <c r="F55">
        <v>-2.56</v>
      </c>
      <c r="G55" t="s">
        <v>939</v>
      </c>
      <c r="H55" t="s">
        <v>935</v>
      </c>
    </row>
    <row r="56" spans="1:8" x14ac:dyDescent="0.25">
      <c r="A56">
        <v>55</v>
      </c>
      <c r="B56" t="s">
        <v>36</v>
      </c>
      <c r="C56" t="s">
        <v>1019</v>
      </c>
      <c r="D56">
        <v>1454.96</v>
      </c>
      <c r="E56">
        <v>1454.96</v>
      </c>
      <c r="F56">
        <v>0</v>
      </c>
      <c r="G56" t="s">
        <v>939</v>
      </c>
      <c r="H56" t="s">
        <v>958</v>
      </c>
    </row>
    <row r="57" spans="1:8" x14ac:dyDescent="0.25">
      <c r="A57">
        <v>56</v>
      </c>
      <c r="B57" t="s">
        <v>1020</v>
      </c>
      <c r="C57" t="s">
        <v>1021</v>
      </c>
      <c r="D57">
        <v>1451.16</v>
      </c>
      <c r="E57">
        <v>1465.78</v>
      </c>
      <c r="F57">
        <v>-14.62</v>
      </c>
      <c r="G57" t="s">
        <v>1022</v>
      </c>
      <c r="H57" t="s">
        <v>931</v>
      </c>
    </row>
    <row r="58" spans="1:8" x14ac:dyDescent="0.25">
      <c r="A58">
        <v>57</v>
      </c>
      <c r="B58" t="s">
        <v>104</v>
      </c>
      <c r="C58" t="s">
        <v>1023</v>
      </c>
      <c r="D58">
        <v>1447.14</v>
      </c>
      <c r="E58">
        <v>1436.94</v>
      </c>
      <c r="F58">
        <v>10.199999999999999</v>
      </c>
      <c r="G58" t="s">
        <v>939</v>
      </c>
      <c r="H58" t="s">
        <v>958</v>
      </c>
    </row>
    <row r="59" spans="1:8" x14ac:dyDescent="0.25">
      <c r="A59">
        <v>58</v>
      </c>
      <c r="B59" t="s">
        <v>1024</v>
      </c>
      <c r="C59" t="s">
        <v>1025</v>
      </c>
      <c r="D59">
        <v>1446.44</v>
      </c>
      <c r="E59">
        <v>1447.31</v>
      </c>
      <c r="F59">
        <v>-0.87</v>
      </c>
      <c r="G59" t="s">
        <v>933</v>
      </c>
      <c r="H59" t="s">
        <v>931</v>
      </c>
    </row>
    <row r="60" spans="1:8" x14ac:dyDescent="0.25">
      <c r="A60">
        <v>59</v>
      </c>
      <c r="B60" t="s">
        <v>1026</v>
      </c>
      <c r="C60" t="s">
        <v>1027</v>
      </c>
      <c r="D60">
        <v>1436.63</v>
      </c>
      <c r="E60">
        <v>1436.04</v>
      </c>
      <c r="F60">
        <v>0.59</v>
      </c>
      <c r="G60" t="s">
        <v>937</v>
      </c>
      <c r="H60" t="s">
        <v>931</v>
      </c>
    </row>
    <row r="61" spans="1:8" x14ac:dyDescent="0.25">
      <c r="A61">
        <v>60</v>
      </c>
      <c r="B61" t="s">
        <v>22</v>
      </c>
      <c r="C61" t="s">
        <v>1028</v>
      </c>
      <c r="D61">
        <v>1429.73</v>
      </c>
      <c r="E61">
        <v>1432.76</v>
      </c>
      <c r="F61">
        <v>-3.03</v>
      </c>
      <c r="G61" t="s">
        <v>937</v>
      </c>
      <c r="H61" t="s">
        <v>943</v>
      </c>
    </row>
    <row r="62" spans="1:8" x14ac:dyDescent="0.25">
      <c r="A62">
        <v>61</v>
      </c>
      <c r="B62" t="s">
        <v>1029</v>
      </c>
      <c r="C62" t="s">
        <v>1030</v>
      </c>
      <c r="D62">
        <v>1421.43</v>
      </c>
      <c r="E62">
        <v>1429.48</v>
      </c>
      <c r="F62">
        <v>-8.0500000000000007</v>
      </c>
      <c r="G62" t="s">
        <v>937</v>
      </c>
      <c r="H62" t="s">
        <v>958</v>
      </c>
    </row>
    <row r="63" spans="1:8" x14ac:dyDescent="0.25">
      <c r="A63">
        <v>62</v>
      </c>
      <c r="B63" t="s">
        <v>1031</v>
      </c>
      <c r="C63" t="s">
        <v>1032</v>
      </c>
      <c r="D63">
        <v>1412.49</v>
      </c>
      <c r="E63">
        <v>1412.79</v>
      </c>
      <c r="F63">
        <v>-0.3</v>
      </c>
      <c r="G63" t="s">
        <v>937</v>
      </c>
      <c r="H63" t="s">
        <v>943</v>
      </c>
    </row>
    <row r="64" spans="1:8" x14ac:dyDescent="0.25">
      <c r="A64">
        <v>63</v>
      </c>
      <c r="B64" t="s">
        <v>115</v>
      </c>
      <c r="C64" t="s">
        <v>1033</v>
      </c>
      <c r="D64">
        <v>1391.45</v>
      </c>
      <c r="E64">
        <v>1388.93</v>
      </c>
      <c r="F64">
        <v>2.52</v>
      </c>
      <c r="G64" t="s">
        <v>939</v>
      </c>
      <c r="H64" t="s">
        <v>958</v>
      </c>
    </row>
    <row r="65" spans="1:8" x14ac:dyDescent="0.25">
      <c r="A65">
        <v>64</v>
      </c>
      <c r="B65" t="s">
        <v>1034</v>
      </c>
      <c r="C65" t="s">
        <v>1035</v>
      </c>
      <c r="D65">
        <v>1388.06</v>
      </c>
      <c r="E65">
        <v>1401.07</v>
      </c>
      <c r="F65">
        <v>-13.01</v>
      </c>
      <c r="G65" t="s">
        <v>933</v>
      </c>
      <c r="H65" t="s">
        <v>931</v>
      </c>
    </row>
    <row r="66" spans="1:8" x14ac:dyDescent="0.25">
      <c r="A66">
        <v>65</v>
      </c>
      <c r="B66" t="s">
        <v>1036</v>
      </c>
      <c r="C66" t="s">
        <v>1037</v>
      </c>
      <c r="D66">
        <v>1385.84</v>
      </c>
      <c r="E66">
        <v>1362.37</v>
      </c>
      <c r="F66">
        <v>23.47</v>
      </c>
      <c r="G66" t="s">
        <v>1038</v>
      </c>
      <c r="H66" t="s">
        <v>931</v>
      </c>
    </row>
    <row r="67" spans="1:8" x14ac:dyDescent="0.25">
      <c r="A67">
        <v>66</v>
      </c>
      <c r="B67" t="s">
        <v>1039</v>
      </c>
      <c r="C67" t="s">
        <v>1040</v>
      </c>
      <c r="D67">
        <v>1380.27</v>
      </c>
      <c r="E67">
        <v>1379.54</v>
      </c>
      <c r="F67">
        <v>0.73</v>
      </c>
      <c r="G67" t="s">
        <v>933</v>
      </c>
      <c r="H67" t="s">
        <v>953</v>
      </c>
    </row>
    <row r="68" spans="1:8" x14ac:dyDescent="0.25">
      <c r="A68">
        <v>67</v>
      </c>
      <c r="B68" t="s">
        <v>1041</v>
      </c>
      <c r="C68" t="s">
        <v>1042</v>
      </c>
      <c r="D68">
        <v>1372.04</v>
      </c>
      <c r="E68">
        <v>1378.57</v>
      </c>
      <c r="F68">
        <v>-6.53</v>
      </c>
      <c r="G68" t="s">
        <v>933</v>
      </c>
      <c r="H68" t="s">
        <v>931</v>
      </c>
    </row>
    <row r="69" spans="1:8" x14ac:dyDescent="0.25">
      <c r="A69">
        <v>68</v>
      </c>
      <c r="B69" t="s">
        <v>1043</v>
      </c>
      <c r="C69" t="s">
        <v>1044</v>
      </c>
      <c r="D69">
        <v>1370.47</v>
      </c>
      <c r="E69">
        <v>1370.47</v>
      </c>
      <c r="F69">
        <v>0</v>
      </c>
      <c r="G69" t="s">
        <v>937</v>
      </c>
      <c r="H69" t="s">
        <v>958</v>
      </c>
    </row>
    <row r="70" spans="1:8" x14ac:dyDescent="0.25">
      <c r="A70">
        <v>69</v>
      </c>
      <c r="B70" t="s">
        <v>93</v>
      </c>
      <c r="C70" t="s">
        <v>1045</v>
      </c>
      <c r="D70">
        <v>1366.13</v>
      </c>
      <c r="E70">
        <v>1370.49</v>
      </c>
      <c r="F70">
        <v>-4.3600000000000003</v>
      </c>
      <c r="G70" t="s">
        <v>951</v>
      </c>
      <c r="H70" t="s">
        <v>943</v>
      </c>
    </row>
    <row r="71" spans="1:8" x14ac:dyDescent="0.25">
      <c r="A71">
        <v>70</v>
      </c>
      <c r="B71" t="s">
        <v>1046</v>
      </c>
      <c r="C71" t="s">
        <v>1047</v>
      </c>
      <c r="D71">
        <v>1362.16</v>
      </c>
      <c r="E71">
        <v>1366.02</v>
      </c>
      <c r="F71">
        <v>-3.86</v>
      </c>
      <c r="G71" t="s">
        <v>933</v>
      </c>
      <c r="H71" t="s">
        <v>931</v>
      </c>
    </row>
    <row r="72" spans="1:8" x14ac:dyDescent="0.25">
      <c r="A72">
        <v>71</v>
      </c>
      <c r="B72" t="s">
        <v>1048</v>
      </c>
      <c r="C72" t="s">
        <v>1049</v>
      </c>
      <c r="D72">
        <v>1358</v>
      </c>
      <c r="E72">
        <v>1362.46</v>
      </c>
      <c r="F72">
        <v>-4.46</v>
      </c>
      <c r="G72" t="s">
        <v>933</v>
      </c>
      <c r="H72" t="s">
        <v>953</v>
      </c>
    </row>
    <row r="73" spans="1:8" x14ac:dyDescent="0.25">
      <c r="A73">
        <v>72</v>
      </c>
      <c r="B73" t="s">
        <v>1050</v>
      </c>
      <c r="C73" t="s">
        <v>1051</v>
      </c>
      <c r="D73">
        <v>1350.18</v>
      </c>
      <c r="E73">
        <v>1347.88</v>
      </c>
      <c r="F73">
        <v>2.2999999999999998</v>
      </c>
      <c r="G73" t="s">
        <v>939</v>
      </c>
      <c r="H73" t="s">
        <v>931</v>
      </c>
    </row>
    <row r="74" spans="1:8" x14ac:dyDescent="0.25">
      <c r="A74">
        <v>73</v>
      </c>
      <c r="B74" t="s">
        <v>1052</v>
      </c>
      <c r="C74" t="s">
        <v>1053</v>
      </c>
      <c r="D74">
        <v>1346.41</v>
      </c>
      <c r="E74">
        <v>1341.81</v>
      </c>
      <c r="F74">
        <v>4.5999999999999996</v>
      </c>
      <c r="G74" t="s">
        <v>930</v>
      </c>
      <c r="H74" t="s">
        <v>931</v>
      </c>
    </row>
    <row r="75" spans="1:8" x14ac:dyDescent="0.25">
      <c r="A75">
        <v>74</v>
      </c>
      <c r="B75" t="s">
        <v>133</v>
      </c>
      <c r="C75" t="s">
        <v>1054</v>
      </c>
      <c r="D75">
        <v>1346.31</v>
      </c>
      <c r="E75">
        <v>1351.09</v>
      </c>
      <c r="F75">
        <v>-4.78</v>
      </c>
      <c r="G75" t="s">
        <v>951</v>
      </c>
      <c r="H75" t="s">
        <v>943</v>
      </c>
    </row>
    <row r="76" spans="1:8" x14ac:dyDescent="0.25">
      <c r="A76">
        <v>75</v>
      </c>
      <c r="B76" t="s">
        <v>1055</v>
      </c>
      <c r="C76" t="s">
        <v>1056</v>
      </c>
      <c r="D76">
        <v>1345.07</v>
      </c>
      <c r="E76">
        <v>1344.72</v>
      </c>
      <c r="F76">
        <v>0.35</v>
      </c>
      <c r="G76" t="s">
        <v>933</v>
      </c>
      <c r="H76" t="s">
        <v>931</v>
      </c>
    </row>
    <row r="77" spans="1:8" x14ac:dyDescent="0.25">
      <c r="A77">
        <v>76</v>
      </c>
      <c r="B77" t="s">
        <v>1057</v>
      </c>
      <c r="C77" t="s">
        <v>1058</v>
      </c>
      <c r="D77">
        <v>1329.42</v>
      </c>
      <c r="E77">
        <v>1330.52</v>
      </c>
      <c r="F77">
        <v>-1.1000000000000001</v>
      </c>
      <c r="G77" t="s">
        <v>937</v>
      </c>
      <c r="H77" t="s">
        <v>935</v>
      </c>
    </row>
    <row r="78" spans="1:8" x14ac:dyDescent="0.25">
      <c r="A78">
        <v>77</v>
      </c>
      <c r="B78" t="s">
        <v>1059</v>
      </c>
      <c r="C78" t="s">
        <v>1060</v>
      </c>
      <c r="D78">
        <v>1328.33</v>
      </c>
      <c r="E78">
        <v>1328.14</v>
      </c>
      <c r="F78">
        <v>0.19</v>
      </c>
      <c r="G78" t="s">
        <v>937</v>
      </c>
      <c r="H78" t="s">
        <v>931</v>
      </c>
    </row>
    <row r="79" spans="1:8" x14ac:dyDescent="0.25">
      <c r="A79">
        <v>78</v>
      </c>
      <c r="B79" t="s">
        <v>1061</v>
      </c>
      <c r="C79" t="s">
        <v>1062</v>
      </c>
      <c r="D79">
        <v>1318.83</v>
      </c>
      <c r="E79">
        <v>1308.8399999999999</v>
      </c>
      <c r="F79">
        <v>9.99</v>
      </c>
      <c r="G79" t="s">
        <v>939</v>
      </c>
      <c r="H79" t="s">
        <v>931</v>
      </c>
    </row>
    <row r="80" spans="1:8" x14ac:dyDescent="0.25">
      <c r="A80">
        <v>79</v>
      </c>
      <c r="B80" t="s">
        <v>1063</v>
      </c>
      <c r="C80" t="s">
        <v>1064</v>
      </c>
      <c r="D80">
        <v>1313.46</v>
      </c>
      <c r="E80">
        <v>1313.46</v>
      </c>
      <c r="F80">
        <v>0</v>
      </c>
      <c r="G80" t="s">
        <v>933</v>
      </c>
      <c r="H80" t="s">
        <v>958</v>
      </c>
    </row>
    <row r="81" spans="1:8" x14ac:dyDescent="0.25">
      <c r="A81">
        <v>80</v>
      </c>
      <c r="B81" t="s">
        <v>1065</v>
      </c>
      <c r="C81" t="s">
        <v>1066</v>
      </c>
      <c r="D81">
        <v>1300.01</v>
      </c>
      <c r="E81">
        <v>1307.05</v>
      </c>
      <c r="F81">
        <v>-7.04</v>
      </c>
      <c r="G81" t="s">
        <v>937</v>
      </c>
      <c r="H81" t="s">
        <v>943</v>
      </c>
    </row>
    <row r="82" spans="1:8" x14ac:dyDescent="0.25">
      <c r="A82">
        <v>81</v>
      </c>
      <c r="B82" t="s">
        <v>1067</v>
      </c>
      <c r="C82" t="s">
        <v>1068</v>
      </c>
      <c r="D82">
        <v>1295.52</v>
      </c>
      <c r="E82">
        <v>1297.0899999999999</v>
      </c>
      <c r="F82">
        <v>-1.57</v>
      </c>
      <c r="G82" t="s">
        <v>939</v>
      </c>
      <c r="H82" t="s">
        <v>931</v>
      </c>
    </row>
    <row r="83" spans="1:8" x14ac:dyDescent="0.25">
      <c r="A83">
        <v>82</v>
      </c>
      <c r="B83" t="s">
        <v>1069</v>
      </c>
      <c r="C83" t="s">
        <v>1070</v>
      </c>
      <c r="D83">
        <v>1294.6500000000001</v>
      </c>
      <c r="E83">
        <v>1302.7</v>
      </c>
      <c r="F83">
        <v>-8.0500000000000007</v>
      </c>
      <c r="G83" t="s">
        <v>933</v>
      </c>
      <c r="H83" t="s">
        <v>953</v>
      </c>
    </row>
    <row r="84" spans="1:8" x14ac:dyDescent="0.25">
      <c r="A84">
        <v>83</v>
      </c>
      <c r="B84" t="s">
        <v>45</v>
      </c>
      <c r="C84" t="s">
        <v>1071</v>
      </c>
      <c r="D84">
        <v>1291.71</v>
      </c>
      <c r="E84">
        <v>1294.49</v>
      </c>
      <c r="F84">
        <v>-2.78</v>
      </c>
      <c r="G84" t="s">
        <v>937</v>
      </c>
      <c r="H84" t="s">
        <v>953</v>
      </c>
    </row>
    <row r="85" spans="1:8" x14ac:dyDescent="0.25">
      <c r="A85">
        <v>84</v>
      </c>
      <c r="B85" t="s">
        <v>1072</v>
      </c>
      <c r="C85" t="s">
        <v>1073</v>
      </c>
      <c r="D85">
        <v>1288.56</v>
      </c>
      <c r="E85">
        <v>1282.6199999999999</v>
      </c>
      <c r="F85">
        <v>5.94</v>
      </c>
      <c r="G85" t="s">
        <v>937</v>
      </c>
      <c r="H85" t="s">
        <v>958</v>
      </c>
    </row>
    <row r="86" spans="1:8" x14ac:dyDescent="0.25">
      <c r="A86">
        <v>85</v>
      </c>
      <c r="B86" t="s">
        <v>86</v>
      </c>
      <c r="C86" t="s">
        <v>1074</v>
      </c>
      <c r="D86">
        <v>1281.57</v>
      </c>
      <c r="E86">
        <v>1279.25</v>
      </c>
      <c r="F86">
        <v>2.3199999999999998</v>
      </c>
      <c r="G86" t="s">
        <v>937</v>
      </c>
      <c r="H86" t="s">
        <v>1075</v>
      </c>
    </row>
    <row r="87" spans="1:8" x14ac:dyDescent="0.25">
      <c r="A87">
        <v>86</v>
      </c>
      <c r="B87" t="s">
        <v>1076</v>
      </c>
      <c r="C87" t="s">
        <v>1077</v>
      </c>
      <c r="D87">
        <v>1278.9000000000001</v>
      </c>
      <c r="E87">
        <v>1272.19</v>
      </c>
      <c r="F87">
        <v>6.71</v>
      </c>
      <c r="G87" t="s">
        <v>939</v>
      </c>
      <c r="H87" t="s">
        <v>931</v>
      </c>
    </row>
    <row r="88" spans="1:8" x14ac:dyDescent="0.25">
      <c r="A88">
        <v>87</v>
      </c>
      <c r="B88" t="s">
        <v>1078</v>
      </c>
      <c r="C88" t="s">
        <v>1079</v>
      </c>
      <c r="D88">
        <v>1272.51</v>
      </c>
      <c r="E88">
        <v>1276.28</v>
      </c>
      <c r="F88">
        <v>-3.77</v>
      </c>
      <c r="G88" t="s">
        <v>933</v>
      </c>
      <c r="H88" t="s">
        <v>943</v>
      </c>
    </row>
    <row r="89" spans="1:8" x14ac:dyDescent="0.25">
      <c r="A89">
        <v>88</v>
      </c>
      <c r="B89" t="s">
        <v>1080</v>
      </c>
      <c r="C89" t="s">
        <v>1081</v>
      </c>
      <c r="D89">
        <v>1264.0899999999999</v>
      </c>
      <c r="E89">
        <v>1264.0899999999999</v>
      </c>
      <c r="F89">
        <v>0</v>
      </c>
      <c r="G89" t="s">
        <v>937</v>
      </c>
      <c r="H89" t="s">
        <v>943</v>
      </c>
    </row>
    <row r="90" spans="1:8" x14ac:dyDescent="0.25">
      <c r="A90">
        <v>89</v>
      </c>
      <c r="B90" t="s">
        <v>1082</v>
      </c>
      <c r="C90" t="s">
        <v>1083</v>
      </c>
      <c r="D90">
        <v>1263.0999999999999</v>
      </c>
      <c r="E90">
        <v>1263.0999999999999</v>
      </c>
      <c r="F90">
        <v>0</v>
      </c>
      <c r="G90" t="s">
        <v>937</v>
      </c>
      <c r="H90" t="s">
        <v>943</v>
      </c>
    </row>
    <row r="91" spans="1:8" x14ac:dyDescent="0.25">
      <c r="A91">
        <v>90</v>
      </c>
      <c r="B91" t="s">
        <v>1084</v>
      </c>
      <c r="C91" t="s">
        <v>1085</v>
      </c>
      <c r="D91">
        <v>1258.98</v>
      </c>
      <c r="E91">
        <v>1250.05</v>
      </c>
      <c r="F91">
        <v>8.93</v>
      </c>
      <c r="G91" t="s">
        <v>930</v>
      </c>
      <c r="H91" t="s">
        <v>943</v>
      </c>
    </row>
    <row r="92" spans="1:8" x14ac:dyDescent="0.25">
      <c r="A92">
        <v>91</v>
      </c>
      <c r="B92" t="s">
        <v>1086</v>
      </c>
      <c r="C92" t="s">
        <v>1087</v>
      </c>
      <c r="D92">
        <v>1258.53</v>
      </c>
      <c r="E92">
        <v>1258.53</v>
      </c>
      <c r="F92">
        <v>0</v>
      </c>
      <c r="G92" t="s">
        <v>933</v>
      </c>
      <c r="H92" t="s">
        <v>958</v>
      </c>
    </row>
    <row r="93" spans="1:8" x14ac:dyDescent="0.25">
      <c r="A93">
        <v>92</v>
      </c>
      <c r="B93" t="s">
        <v>1088</v>
      </c>
      <c r="C93" t="s">
        <v>1089</v>
      </c>
      <c r="D93">
        <v>1255.82</v>
      </c>
      <c r="E93">
        <v>1256.68</v>
      </c>
      <c r="F93">
        <v>-0.86</v>
      </c>
      <c r="G93" t="s">
        <v>933</v>
      </c>
      <c r="H93" t="s">
        <v>943</v>
      </c>
    </row>
    <row r="94" spans="1:8" x14ac:dyDescent="0.25">
      <c r="A94">
        <v>93</v>
      </c>
      <c r="B94" t="s">
        <v>1090</v>
      </c>
      <c r="C94" t="s">
        <v>1091</v>
      </c>
      <c r="D94">
        <v>1252.1400000000001</v>
      </c>
      <c r="E94">
        <v>1243.27</v>
      </c>
      <c r="F94">
        <v>8.8699999999999992</v>
      </c>
      <c r="G94" t="s">
        <v>965</v>
      </c>
      <c r="H94" t="s">
        <v>958</v>
      </c>
    </row>
    <row r="95" spans="1:8" x14ac:dyDescent="0.25">
      <c r="A95">
        <v>94</v>
      </c>
      <c r="B95" t="s">
        <v>1092</v>
      </c>
      <c r="C95" t="s">
        <v>1093</v>
      </c>
      <c r="D95">
        <v>1251.5999999999999</v>
      </c>
      <c r="E95">
        <v>1249.06</v>
      </c>
      <c r="F95">
        <v>2.54</v>
      </c>
      <c r="G95" t="s">
        <v>933</v>
      </c>
      <c r="H95" t="s">
        <v>958</v>
      </c>
    </row>
    <row r="96" spans="1:8" x14ac:dyDescent="0.25">
      <c r="A96">
        <v>95</v>
      </c>
      <c r="B96" t="s">
        <v>1094</v>
      </c>
      <c r="C96" t="s">
        <v>1095</v>
      </c>
      <c r="D96">
        <v>1244.73</v>
      </c>
      <c r="E96">
        <v>1244.73</v>
      </c>
      <c r="F96">
        <v>0</v>
      </c>
      <c r="G96" t="s">
        <v>937</v>
      </c>
      <c r="H96" t="s">
        <v>958</v>
      </c>
    </row>
    <row r="97" spans="1:8" x14ac:dyDescent="0.25">
      <c r="A97">
        <v>96</v>
      </c>
      <c r="B97" t="s">
        <v>1096</v>
      </c>
      <c r="C97" t="s">
        <v>1097</v>
      </c>
      <c r="D97">
        <v>1243.47</v>
      </c>
      <c r="E97">
        <v>1245.77</v>
      </c>
      <c r="F97">
        <v>-2.2999999999999998</v>
      </c>
      <c r="G97" t="s">
        <v>951</v>
      </c>
      <c r="H97" t="s">
        <v>953</v>
      </c>
    </row>
    <row r="98" spans="1:8" x14ac:dyDescent="0.25">
      <c r="A98">
        <v>97</v>
      </c>
      <c r="B98" t="s">
        <v>1098</v>
      </c>
      <c r="C98" t="s">
        <v>1099</v>
      </c>
      <c r="D98">
        <v>1235.82</v>
      </c>
      <c r="E98">
        <v>1227.0899999999999</v>
      </c>
      <c r="F98">
        <v>8.73</v>
      </c>
      <c r="G98" t="s">
        <v>939</v>
      </c>
      <c r="H98" t="s">
        <v>931</v>
      </c>
    </row>
    <row r="99" spans="1:8" x14ac:dyDescent="0.25">
      <c r="A99">
        <v>98</v>
      </c>
      <c r="B99" t="s">
        <v>1100</v>
      </c>
      <c r="C99" t="s">
        <v>1101</v>
      </c>
      <c r="D99">
        <v>1227.77</v>
      </c>
      <c r="E99">
        <v>1218.9100000000001</v>
      </c>
      <c r="F99">
        <v>8.86</v>
      </c>
      <c r="G99" t="s">
        <v>989</v>
      </c>
      <c r="H99" t="s">
        <v>931</v>
      </c>
    </row>
    <row r="100" spans="1:8" x14ac:dyDescent="0.25">
      <c r="A100">
        <v>99</v>
      </c>
      <c r="B100" t="s">
        <v>1102</v>
      </c>
      <c r="C100" t="s">
        <v>1103</v>
      </c>
      <c r="D100">
        <v>1225.68</v>
      </c>
      <c r="E100">
        <v>1189.51</v>
      </c>
      <c r="F100">
        <v>36.17</v>
      </c>
      <c r="G100" t="s">
        <v>1104</v>
      </c>
      <c r="H100" t="s">
        <v>958</v>
      </c>
    </row>
    <row r="101" spans="1:8" x14ac:dyDescent="0.25">
      <c r="A101">
        <v>100</v>
      </c>
      <c r="B101" t="s">
        <v>1105</v>
      </c>
      <c r="C101" t="s">
        <v>1106</v>
      </c>
      <c r="D101">
        <v>1225.26</v>
      </c>
      <c r="E101">
        <v>1226.6500000000001</v>
      </c>
      <c r="F101">
        <v>-1.39</v>
      </c>
      <c r="G101" t="s">
        <v>933</v>
      </c>
      <c r="H101" t="s">
        <v>953</v>
      </c>
    </row>
    <row r="102" spans="1:8" x14ac:dyDescent="0.25">
      <c r="A102">
        <v>101</v>
      </c>
      <c r="B102" t="s">
        <v>1107</v>
      </c>
      <c r="C102" t="s">
        <v>1108</v>
      </c>
      <c r="D102">
        <v>1224.31</v>
      </c>
      <c r="E102">
        <v>1224.31</v>
      </c>
      <c r="F102">
        <v>0</v>
      </c>
      <c r="G102" t="s">
        <v>937</v>
      </c>
      <c r="H102" t="s">
        <v>943</v>
      </c>
    </row>
    <row r="103" spans="1:8" x14ac:dyDescent="0.25">
      <c r="A103">
        <v>102</v>
      </c>
      <c r="B103" t="s">
        <v>1109</v>
      </c>
      <c r="C103" t="s">
        <v>1110</v>
      </c>
      <c r="D103">
        <v>1222.94</v>
      </c>
      <c r="E103">
        <v>1227.32</v>
      </c>
      <c r="F103">
        <v>-4.38</v>
      </c>
      <c r="G103" t="s">
        <v>997</v>
      </c>
      <c r="H103" t="s">
        <v>953</v>
      </c>
    </row>
    <row r="104" spans="1:8" x14ac:dyDescent="0.25">
      <c r="A104">
        <v>103</v>
      </c>
      <c r="B104" t="s">
        <v>1111</v>
      </c>
      <c r="C104" t="s">
        <v>1112</v>
      </c>
      <c r="D104">
        <v>1221.78</v>
      </c>
      <c r="E104">
        <v>1224.93</v>
      </c>
      <c r="F104">
        <v>-3.15</v>
      </c>
      <c r="G104" t="s">
        <v>970</v>
      </c>
      <c r="H104" t="s">
        <v>958</v>
      </c>
    </row>
    <row r="105" spans="1:8" x14ac:dyDescent="0.25">
      <c r="A105">
        <v>104</v>
      </c>
      <c r="B105" t="s">
        <v>1113</v>
      </c>
      <c r="C105" t="s">
        <v>1114</v>
      </c>
      <c r="D105">
        <v>1203.76</v>
      </c>
      <c r="E105">
        <v>1198.8699999999999</v>
      </c>
      <c r="F105">
        <v>4.8899999999999997</v>
      </c>
      <c r="G105" t="s">
        <v>937</v>
      </c>
      <c r="H105" t="s">
        <v>943</v>
      </c>
    </row>
    <row r="106" spans="1:8" x14ac:dyDescent="0.25">
      <c r="A106">
        <v>105</v>
      </c>
      <c r="B106" t="s">
        <v>1115</v>
      </c>
      <c r="C106" t="s">
        <v>1116</v>
      </c>
      <c r="D106">
        <v>1195.2</v>
      </c>
      <c r="E106">
        <v>1190.01</v>
      </c>
      <c r="F106">
        <v>5.19</v>
      </c>
      <c r="G106" t="s">
        <v>930</v>
      </c>
      <c r="H106" t="s">
        <v>943</v>
      </c>
    </row>
    <row r="107" spans="1:8" x14ac:dyDescent="0.25">
      <c r="A107">
        <v>106</v>
      </c>
      <c r="B107" t="s">
        <v>1117</v>
      </c>
      <c r="C107" t="s">
        <v>1118</v>
      </c>
      <c r="D107">
        <v>1191.42</v>
      </c>
      <c r="E107">
        <v>1196.08</v>
      </c>
      <c r="F107">
        <v>-4.66</v>
      </c>
      <c r="G107" t="s">
        <v>933</v>
      </c>
      <c r="H107" t="s">
        <v>931</v>
      </c>
    </row>
    <row r="108" spans="1:8" x14ac:dyDescent="0.25">
      <c r="A108">
        <v>107</v>
      </c>
      <c r="B108" t="s">
        <v>1119</v>
      </c>
      <c r="C108" t="s">
        <v>1120</v>
      </c>
      <c r="D108">
        <v>1191.1400000000001</v>
      </c>
      <c r="E108">
        <v>1201.22</v>
      </c>
      <c r="F108">
        <v>-10.08</v>
      </c>
      <c r="G108" t="s">
        <v>1007</v>
      </c>
      <c r="H108" t="s">
        <v>958</v>
      </c>
    </row>
    <row r="109" spans="1:8" x14ac:dyDescent="0.25">
      <c r="A109">
        <v>108</v>
      </c>
      <c r="B109" t="s">
        <v>1121</v>
      </c>
      <c r="C109" t="s">
        <v>1122</v>
      </c>
      <c r="D109">
        <v>1187.96</v>
      </c>
      <c r="E109">
        <v>1187.96</v>
      </c>
      <c r="F109">
        <v>0</v>
      </c>
      <c r="G109" t="s">
        <v>939</v>
      </c>
      <c r="H109" t="s">
        <v>958</v>
      </c>
    </row>
    <row r="110" spans="1:8" x14ac:dyDescent="0.25">
      <c r="A110">
        <v>109</v>
      </c>
      <c r="B110" t="s">
        <v>1123</v>
      </c>
      <c r="C110" t="s">
        <v>1124</v>
      </c>
      <c r="D110">
        <v>1187.9100000000001</v>
      </c>
      <c r="E110">
        <v>1193.49</v>
      </c>
      <c r="F110">
        <v>-5.58</v>
      </c>
      <c r="G110" t="s">
        <v>970</v>
      </c>
      <c r="H110" t="s">
        <v>943</v>
      </c>
    </row>
    <row r="111" spans="1:8" x14ac:dyDescent="0.25">
      <c r="A111">
        <v>110</v>
      </c>
      <c r="B111" t="s">
        <v>1125</v>
      </c>
      <c r="C111" t="s">
        <v>1126</v>
      </c>
      <c r="D111">
        <v>1182.96</v>
      </c>
      <c r="E111">
        <v>1173</v>
      </c>
      <c r="F111">
        <v>9.9600000000000009</v>
      </c>
      <c r="G111" t="s">
        <v>989</v>
      </c>
      <c r="H111" t="s">
        <v>931</v>
      </c>
    </row>
    <row r="112" spans="1:8" x14ac:dyDescent="0.25">
      <c r="A112">
        <v>111</v>
      </c>
      <c r="B112" t="s">
        <v>1127</v>
      </c>
      <c r="C112" t="s">
        <v>1128</v>
      </c>
      <c r="D112">
        <v>1182.23</v>
      </c>
      <c r="E112">
        <v>1179.54</v>
      </c>
      <c r="F112">
        <v>2.69</v>
      </c>
      <c r="G112" t="s">
        <v>930</v>
      </c>
      <c r="H112" t="s">
        <v>943</v>
      </c>
    </row>
    <row r="113" spans="1:8" x14ac:dyDescent="0.25">
      <c r="A113">
        <v>112</v>
      </c>
      <c r="B113" t="s">
        <v>1129</v>
      </c>
      <c r="C113" t="s">
        <v>1130</v>
      </c>
      <c r="D113">
        <v>1182.08</v>
      </c>
      <c r="E113">
        <v>1183.06</v>
      </c>
      <c r="F113">
        <v>-0.98</v>
      </c>
      <c r="G113" t="s">
        <v>937</v>
      </c>
      <c r="H113" t="s">
        <v>943</v>
      </c>
    </row>
    <row r="114" spans="1:8" x14ac:dyDescent="0.25">
      <c r="A114">
        <v>113</v>
      </c>
      <c r="B114" t="s">
        <v>1131</v>
      </c>
      <c r="C114" t="s">
        <v>1132</v>
      </c>
      <c r="D114">
        <v>1180.27</v>
      </c>
      <c r="E114">
        <v>1186.1400000000001</v>
      </c>
      <c r="F114">
        <v>-5.87</v>
      </c>
      <c r="G114" t="s">
        <v>970</v>
      </c>
      <c r="H114" t="s">
        <v>943</v>
      </c>
    </row>
    <row r="115" spans="1:8" x14ac:dyDescent="0.25">
      <c r="A115">
        <v>114</v>
      </c>
      <c r="B115" t="s">
        <v>1133</v>
      </c>
      <c r="C115" t="s">
        <v>1134</v>
      </c>
      <c r="D115">
        <v>1179.6600000000001</v>
      </c>
      <c r="E115">
        <v>1185.0899999999999</v>
      </c>
      <c r="F115">
        <v>-5.43</v>
      </c>
      <c r="G115" t="s">
        <v>970</v>
      </c>
      <c r="H115" t="s">
        <v>943</v>
      </c>
    </row>
    <row r="116" spans="1:8" x14ac:dyDescent="0.25">
      <c r="A116">
        <v>115</v>
      </c>
      <c r="B116" t="s">
        <v>1135</v>
      </c>
      <c r="C116" t="s">
        <v>1136</v>
      </c>
      <c r="D116">
        <v>1170.72</v>
      </c>
      <c r="E116">
        <v>1171.3499999999999</v>
      </c>
      <c r="F116">
        <v>-0.63</v>
      </c>
      <c r="G116" t="s">
        <v>937</v>
      </c>
      <c r="H116" t="s">
        <v>943</v>
      </c>
    </row>
    <row r="117" spans="1:8" x14ac:dyDescent="0.25">
      <c r="A117">
        <v>116</v>
      </c>
      <c r="B117" t="s">
        <v>1137</v>
      </c>
      <c r="C117" t="s">
        <v>1138</v>
      </c>
      <c r="D117">
        <v>1160.3800000000001</v>
      </c>
      <c r="E117">
        <v>1161.55</v>
      </c>
      <c r="F117">
        <v>-1.17</v>
      </c>
      <c r="G117" t="s">
        <v>937</v>
      </c>
      <c r="H117" t="s">
        <v>943</v>
      </c>
    </row>
    <row r="118" spans="1:8" x14ac:dyDescent="0.25">
      <c r="A118">
        <v>117</v>
      </c>
      <c r="B118" t="s">
        <v>1139</v>
      </c>
      <c r="C118" t="s">
        <v>1140</v>
      </c>
      <c r="D118">
        <v>1157.22</v>
      </c>
      <c r="E118">
        <v>1157.22</v>
      </c>
      <c r="F118">
        <v>0</v>
      </c>
      <c r="G118" t="s">
        <v>937</v>
      </c>
      <c r="H118" t="s">
        <v>943</v>
      </c>
    </row>
    <row r="119" spans="1:8" x14ac:dyDescent="0.25">
      <c r="A119">
        <v>118</v>
      </c>
      <c r="B119" t="s">
        <v>1141</v>
      </c>
      <c r="C119" t="s">
        <v>1142</v>
      </c>
      <c r="D119">
        <v>1151.05</v>
      </c>
      <c r="E119">
        <v>1151.05</v>
      </c>
      <c r="F119">
        <v>0</v>
      </c>
      <c r="G119" t="s">
        <v>939</v>
      </c>
      <c r="H119" t="s">
        <v>958</v>
      </c>
    </row>
    <row r="120" spans="1:8" x14ac:dyDescent="0.25">
      <c r="A120">
        <v>119</v>
      </c>
      <c r="B120" t="s">
        <v>1143</v>
      </c>
      <c r="C120" t="s">
        <v>1144</v>
      </c>
      <c r="D120">
        <v>1148.98</v>
      </c>
      <c r="E120">
        <v>1149.0999999999999</v>
      </c>
      <c r="F120">
        <v>-0.12</v>
      </c>
      <c r="G120" t="s">
        <v>939</v>
      </c>
      <c r="H120" t="s">
        <v>943</v>
      </c>
    </row>
    <row r="121" spans="1:8" x14ac:dyDescent="0.25">
      <c r="A121">
        <v>120</v>
      </c>
      <c r="B121" t="s">
        <v>1145</v>
      </c>
      <c r="C121" t="s">
        <v>1146</v>
      </c>
      <c r="D121">
        <v>1148.8399999999999</v>
      </c>
      <c r="E121">
        <v>1153.22</v>
      </c>
      <c r="F121">
        <v>-4.38</v>
      </c>
      <c r="G121" t="s">
        <v>951</v>
      </c>
      <c r="H121" t="s">
        <v>943</v>
      </c>
    </row>
    <row r="122" spans="1:8" x14ac:dyDescent="0.25">
      <c r="A122">
        <v>121</v>
      </c>
      <c r="B122" t="s">
        <v>1147</v>
      </c>
      <c r="C122" t="s">
        <v>1148</v>
      </c>
      <c r="D122">
        <v>1147.31</v>
      </c>
      <c r="E122">
        <v>1140.3499999999999</v>
      </c>
      <c r="F122">
        <v>6.96</v>
      </c>
      <c r="G122" t="s">
        <v>965</v>
      </c>
      <c r="H122" t="s">
        <v>943</v>
      </c>
    </row>
    <row r="123" spans="1:8" x14ac:dyDescent="0.25">
      <c r="A123">
        <v>122</v>
      </c>
      <c r="B123" t="s">
        <v>1149</v>
      </c>
      <c r="C123" t="s">
        <v>1150</v>
      </c>
      <c r="D123">
        <v>1144.8800000000001</v>
      </c>
      <c r="E123">
        <v>1144.73</v>
      </c>
      <c r="F123">
        <v>0.15</v>
      </c>
      <c r="G123" t="s">
        <v>937</v>
      </c>
      <c r="H123" t="s">
        <v>958</v>
      </c>
    </row>
    <row r="124" spans="1:8" x14ac:dyDescent="0.25">
      <c r="A124">
        <v>123</v>
      </c>
      <c r="B124" t="s">
        <v>1151</v>
      </c>
      <c r="C124" t="s">
        <v>1152</v>
      </c>
      <c r="D124">
        <v>1137.1400000000001</v>
      </c>
      <c r="E124">
        <v>1135.42</v>
      </c>
      <c r="F124">
        <v>1.72</v>
      </c>
      <c r="G124" t="s">
        <v>930</v>
      </c>
      <c r="H124" t="s">
        <v>931</v>
      </c>
    </row>
    <row r="125" spans="1:8" x14ac:dyDescent="0.25">
      <c r="A125">
        <v>124</v>
      </c>
      <c r="B125" t="s">
        <v>1153</v>
      </c>
      <c r="C125" t="s">
        <v>1154</v>
      </c>
      <c r="D125">
        <v>1136.67</v>
      </c>
      <c r="E125">
        <v>1132.97</v>
      </c>
      <c r="F125">
        <v>3.7</v>
      </c>
      <c r="G125" t="s">
        <v>965</v>
      </c>
      <c r="H125" t="s">
        <v>931</v>
      </c>
    </row>
    <row r="126" spans="1:8" x14ac:dyDescent="0.25">
      <c r="A126">
        <v>125</v>
      </c>
      <c r="B126" t="s">
        <v>1155</v>
      </c>
      <c r="C126" t="s">
        <v>1156</v>
      </c>
      <c r="D126">
        <v>1132.43</v>
      </c>
      <c r="E126">
        <v>1140.54</v>
      </c>
      <c r="F126">
        <v>-8.11</v>
      </c>
      <c r="G126" t="s">
        <v>951</v>
      </c>
      <c r="H126" t="s">
        <v>953</v>
      </c>
    </row>
    <row r="127" spans="1:8" x14ac:dyDescent="0.25">
      <c r="A127">
        <v>126</v>
      </c>
      <c r="B127" t="s">
        <v>1157</v>
      </c>
      <c r="C127" t="s">
        <v>1158</v>
      </c>
      <c r="D127">
        <v>1128.33</v>
      </c>
      <c r="E127">
        <v>1128.5</v>
      </c>
      <c r="F127">
        <v>-0.17</v>
      </c>
      <c r="G127" t="s">
        <v>930</v>
      </c>
      <c r="H127" t="s">
        <v>931</v>
      </c>
    </row>
    <row r="128" spans="1:8" x14ac:dyDescent="0.25">
      <c r="A128">
        <v>127</v>
      </c>
      <c r="B128" t="s">
        <v>1159</v>
      </c>
      <c r="C128" t="s">
        <v>1160</v>
      </c>
      <c r="D128">
        <v>1128.03</v>
      </c>
      <c r="E128">
        <v>1133.75</v>
      </c>
      <c r="F128">
        <v>-5.72</v>
      </c>
      <c r="G128" t="s">
        <v>933</v>
      </c>
      <c r="H128" t="s">
        <v>943</v>
      </c>
    </row>
    <row r="129" spans="1:8" x14ac:dyDescent="0.25">
      <c r="A129">
        <v>128</v>
      </c>
      <c r="B129" t="s">
        <v>1161</v>
      </c>
      <c r="C129" t="s">
        <v>1162</v>
      </c>
      <c r="D129">
        <v>1126.6199999999999</v>
      </c>
      <c r="E129">
        <v>1117.78</v>
      </c>
      <c r="F129">
        <v>8.84</v>
      </c>
      <c r="G129" t="s">
        <v>930</v>
      </c>
      <c r="H129" t="s">
        <v>943</v>
      </c>
    </row>
    <row r="130" spans="1:8" x14ac:dyDescent="0.25">
      <c r="A130">
        <v>129</v>
      </c>
      <c r="B130" t="s">
        <v>1163</v>
      </c>
      <c r="C130" t="s">
        <v>1164</v>
      </c>
      <c r="D130">
        <v>1121.0999999999999</v>
      </c>
      <c r="E130">
        <v>1123.1099999999999</v>
      </c>
      <c r="F130">
        <v>-2.0099999999999998</v>
      </c>
      <c r="G130" t="s">
        <v>937</v>
      </c>
      <c r="H130" t="s">
        <v>931</v>
      </c>
    </row>
    <row r="131" spans="1:8" x14ac:dyDescent="0.25">
      <c r="A131">
        <v>130</v>
      </c>
      <c r="B131" t="s">
        <v>1165</v>
      </c>
      <c r="C131" t="s">
        <v>1166</v>
      </c>
      <c r="D131">
        <v>1118.1199999999999</v>
      </c>
      <c r="E131">
        <v>1113.6099999999999</v>
      </c>
      <c r="F131">
        <v>4.51</v>
      </c>
      <c r="G131" t="s">
        <v>930</v>
      </c>
      <c r="H131" t="s">
        <v>943</v>
      </c>
    </row>
    <row r="132" spans="1:8" x14ac:dyDescent="0.25">
      <c r="A132">
        <v>131</v>
      </c>
      <c r="B132" t="s">
        <v>1167</v>
      </c>
      <c r="C132" t="s">
        <v>1168</v>
      </c>
      <c r="D132">
        <v>1115.1300000000001</v>
      </c>
      <c r="E132">
        <v>1116.8599999999999</v>
      </c>
      <c r="F132">
        <v>-1.73</v>
      </c>
      <c r="G132" t="s">
        <v>937</v>
      </c>
      <c r="H132" t="s">
        <v>953</v>
      </c>
    </row>
    <row r="133" spans="1:8" x14ac:dyDescent="0.25">
      <c r="A133">
        <v>132</v>
      </c>
      <c r="B133" t="s">
        <v>1169</v>
      </c>
      <c r="C133" t="s">
        <v>1170</v>
      </c>
      <c r="D133">
        <v>1108.3800000000001</v>
      </c>
      <c r="E133">
        <v>1108.0899999999999</v>
      </c>
      <c r="F133">
        <v>0.28999999999999998</v>
      </c>
      <c r="G133" t="s">
        <v>939</v>
      </c>
      <c r="H133" t="s">
        <v>943</v>
      </c>
    </row>
    <row r="134" spans="1:8" x14ac:dyDescent="0.25">
      <c r="A134">
        <v>133</v>
      </c>
      <c r="B134" t="s">
        <v>1171</v>
      </c>
      <c r="C134" t="s">
        <v>1172</v>
      </c>
      <c r="D134">
        <v>1105.96</v>
      </c>
      <c r="E134">
        <v>1105.96</v>
      </c>
      <c r="F134">
        <v>0</v>
      </c>
      <c r="G134" t="s">
        <v>939</v>
      </c>
      <c r="H134" t="s">
        <v>943</v>
      </c>
    </row>
    <row r="135" spans="1:8" x14ac:dyDescent="0.25">
      <c r="A135">
        <v>134</v>
      </c>
      <c r="B135" t="s">
        <v>1173</v>
      </c>
      <c r="C135" t="s">
        <v>1174</v>
      </c>
      <c r="D135">
        <v>1105.0999999999999</v>
      </c>
      <c r="E135">
        <v>1105.0999999999999</v>
      </c>
      <c r="F135">
        <v>0</v>
      </c>
      <c r="G135" t="s">
        <v>939</v>
      </c>
      <c r="H135" t="s">
        <v>958</v>
      </c>
    </row>
    <row r="136" spans="1:8" x14ac:dyDescent="0.25">
      <c r="A136">
        <v>135</v>
      </c>
      <c r="B136" t="s">
        <v>1175</v>
      </c>
      <c r="C136" t="s">
        <v>1176</v>
      </c>
      <c r="D136">
        <v>1094.0999999999999</v>
      </c>
      <c r="E136">
        <v>1090.95</v>
      </c>
      <c r="F136">
        <v>3.15</v>
      </c>
      <c r="G136" t="s">
        <v>939</v>
      </c>
      <c r="H136" t="s">
        <v>958</v>
      </c>
    </row>
    <row r="137" spans="1:8" x14ac:dyDescent="0.25">
      <c r="A137">
        <v>136</v>
      </c>
      <c r="B137" t="s">
        <v>1177</v>
      </c>
      <c r="C137" t="s">
        <v>1178</v>
      </c>
      <c r="D137">
        <v>1091.03</v>
      </c>
      <c r="E137">
        <v>1079.52</v>
      </c>
      <c r="F137">
        <v>11.51</v>
      </c>
      <c r="G137" t="s">
        <v>1179</v>
      </c>
      <c r="H137" t="s">
        <v>958</v>
      </c>
    </row>
    <row r="138" spans="1:8" x14ac:dyDescent="0.25">
      <c r="A138">
        <v>137</v>
      </c>
      <c r="B138" t="s">
        <v>1180</v>
      </c>
      <c r="C138" t="s">
        <v>1181</v>
      </c>
      <c r="D138">
        <v>1090.57</v>
      </c>
      <c r="E138">
        <v>1082.68</v>
      </c>
      <c r="F138">
        <v>7.89</v>
      </c>
      <c r="G138" t="s">
        <v>930</v>
      </c>
      <c r="H138" t="s">
        <v>931</v>
      </c>
    </row>
    <row r="139" spans="1:8" x14ac:dyDescent="0.25">
      <c r="A139">
        <v>138</v>
      </c>
      <c r="B139" t="s">
        <v>1182</v>
      </c>
      <c r="C139" t="s">
        <v>1183</v>
      </c>
      <c r="D139">
        <v>1086.22</v>
      </c>
      <c r="E139">
        <v>1145.8900000000001</v>
      </c>
      <c r="F139">
        <v>-59.67</v>
      </c>
      <c r="G139" t="s">
        <v>1184</v>
      </c>
      <c r="H139" t="s">
        <v>958</v>
      </c>
    </row>
    <row r="140" spans="1:8" x14ac:dyDescent="0.25">
      <c r="A140">
        <v>139</v>
      </c>
      <c r="B140" t="s">
        <v>1185</v>
      </c>
      <c r="C140" t="s">
        <v>1186</v>
      </c>
      <c r="D140">
        <v>1083.57</v>
      </c>
      <c r="E140">
        <v>1083.57</v>
      </c>
      <c r="F140">
        <v>0</v>
      </c>
      <c r="G140" t="s">
        <v>933</v>
      </c>
      <c r="H140" t="s">
        <v>943</v>
      </c>
    </row>
    <row r="141" spans="1:8" x14ac:dyDescent="0.25">
      <c r="A141">
        <v>140</v>
      </c>
      <c r="B141" t="s">
        <v>1187</v>
      </c>
      <c r="C141" t="s">
        <v>1188</v>
      </c>
      <c r="D141">
        <v>1079.02</v>
      </c>
      <c r="E141">
        <v>1081.46</v>
      </c>
      <c r="F141">
        <v>-2.44</v>
      </c>
      <c r="G141" t="s">
        <v>937</v>
      </c>
      <c r="H141" t="s">
        <v>943</v>
      </c>
    </row>
    <row r="142" spans="1:8" x14ac:dyDescent="0.25">
      <c r="A142">
        <v>141</v>
      </c>
      <c r="B142" t="s">
        <v>1189</v>
      </c>
      <c r="C142" t="s">
        <v>1190</v>
      </c>
      <c r="D142">
        <v>1078.6500000000001</v>
      </c>
      <c r="E142">
        <v>1087.52</v>
      </c>
      <c r="F142">
        <v>-8.8699999999999992</v>
      </c>
      <c r="G142" t="s">
        <v>1007</v>
      </c>
      <c r="H142" t="s">
        <v>958</v>
      </c>
    </row>
    <row r="143" spans="1:8" x14ac:dyDescent="0.25">
      <c r="A143">
        <v>142</v>
      </c>
      <c r="B143" t="s">
        <v>1191</v>
      </c>
      <c r="C143" t="s">
        <v>1192</v>
      </c>
      <c r="D143">
        <v>1078.01</v>
      </c>
      <c r="E143">
        <v>1060.22</v>
      </c>
      <c r="F143">
        <v>17.79</v>
      </c>
      <c r="G143" t="s">
        <v>965</v>
      </c>
      <c r="H143" t="s">
        <v>943</v>
      </c>
    </row>
    <row r="144" spans="1:8" x14ac:dyDescent="0.25">
      <c r="A144">
        <v>143</v>
      </c>
      <c r="B144" t="s">
        <v>1193</v>
      </c>
      <c r="C144" t="s">
        <v>1194</v>
      </c>
      <c r="D144">
        <v>1077.95</v>
      </c>
      <c r="E144">
        <v>1077.49</v>
      </c>
      <c r="F144">
        <v>0.46</v>
      </c>
      <c r="G144" t="s">
        <v>933</v>
      </c>
      <c r="H144" t="s">
        <v>953</v>
      </c>
    </row>
    <row r="145" spans="1:8" x14ac:dyDescent="0.25">
      <c r="A145">
        <v>144</v>
      </c>
      <c r="B145" t="s">
        <v>1195</v>
      </c>
      <c r="C145" t="s">
        <v>1196</v>
      </c>
      <c r="D145">
        <v>1071.55</v>
      </c>
      <c r="E145">
        <v>1055.3599999999999</v>
      </c>
      <c r="F145">
        <v>16.190000000000001</v>
      </c>
      <c r="G145" t="s">
        <v>965</v>
      </c>
      <c r="H145" t="s">
        <v>943</v>
      </c>
    </row>
    <row r="146" spans="1:8" x14ac:dyDescent="0.25">
      <c r="A146">
        <v>145</v>
      </c>
      <c r="B146" t="s">
        <v>1197</v>
      </c>
      <c r="C146" t="s">
        <v>1198</v>
      </c>
      <c r="D146">
        <v>1067.1300000000001</v>
      </c>
      <c r="E146">
        <v>1065.97</v>
      </c>
      <c r="F146">
        <v>1.1599999999999999</v>
      </c>
      <c r="G146" t="s">
        <v>951</v>
      </c>
      <c r="H146" t="s">
        <v>943</v>
      </c>
    </row>
    <row r="147" spans="1:8" x14ac:dyDescent="0.25">
      <c r="A147">
        <v>146</v>
      </c>
      <c r="B147" t="s">
        <v>1199</v>
      </c>
      <c r="C147" t="s">
        <v>1200</v>
      </c>
      <c r="D147">
        <v>1063.6300000000001</v>
      </c>
      <c r="E147">
        <v>1062.42</v>
      </c>
      <c r="F147">
        <v>1.21</v>
      </c>
      <c r="G147" t="s">
        <v>951</v>
      </c>
      <c r="H147" t="s">
        <v>943</v>
      </c>
    </row>
    <row r="148" spans="1:8" x14ac:dyDescent="0.25">
      <c r="A148">
        <v>147</v>
      </c>
      <c r="B148" t="s">
        <v>1201</v>
      </c>
      <c r="C148" t="s">
        <v>1202</v>
      </c>
      <c r="D148">
        <v>1059.53</v>
      </c>
      <c r="E148">
        <v>1050.3499999999999</v>
      </c>
      <c r="F148">
        <v>9.18</v>
      </c>
      <c r="G148" t="s">
        <v>939</v>
      </c>
      <c r="H148" t="s">
        <v>958</v>
      </c>
    </row>
    <row r="149" spans="1:8" x14ac:dyDescent="0.25">
      <c r="A149">
        <v>148</v>
      </c>
      <c r="B149" t="s">
        <v>1203</v>
      </c>
      <c r="C149" t="s">
        <v>1204</v>
      </c>
      <c r="D149">
        <v>1058.42</v>
      </c>
      <c r="E149">
        <v>1056.3399999999999</v>
      </c>
      <c r="F149">
        <v>2.08</v>
      </c>
      <c r="G149" t="s">
        <v>951</v>
      </c>
      <c r="H149" t="s">
        <v>931</v>
      </c>
    </row>
    <row r="150" spans="1:8" x14ac:dyDescent="0.25">
      <c r="A150">
        <v>149</v>
      </c>
      <c r="B150" t="s">
        <v>1205</v>
      </c>
      <c r="C150" t="s">
        <v>1206</v>
      </c>
      <c r="D150">
        <v>1049.49</v>
      </c>
      <c r="E150">
        <v>1049.49</v>
      </c>
      <c r="F150">
        <v>0</v>
      </c>
      <c r="G150" t="s">
        <v>937</v>
      </c>
      <c r="H150" t="s">
        <v>958</v>
      </c>
    </row>
    <row r="151" spans="1:8" x14ac:dyDescent="0.25">
      <c r="A151">
        <v>150</v>
      </c>
      <c r="B151" t="s">
        <v>1207</v>
      </c>
      <c r="C151" t="s">
        <v>1208</v>
      </c>
      <c r="D151">
        <v>1049.32</v>
      </c>
      <c r="E151">
        <v>1041.9000000000001</v>
      </c>
      <c r="F151">
        <v>7.42</v>
      </c>
      <c r="G151" t="s">
        <v>939</v>
      </c>
      <c r="H151" t="s">
        <v>953</v>
      </c>
    </row>
    <row r="152" spans="1:8" x14ac:dyDescent="0.25">
      <c r="A152">
        <v>151</v>
      </c>
      <c r="B152" t="s">
        <v>1209</v>
      </c>
      <c r="C152" t="s">
        <v>1210</v>
      </c>
      <c r="D152">
        <v>1036.95</v>
      </c>
      <c r="E152">
        <v>1042.6199999999999</v>
      </c>
      <c r="F152">
        <v>-5.67</v>
      </c>
      <c r="G152" t="s">
        <v>933</v>
      </c>
      <c r="H152" t="s">
        <v>1075</v>
      </c>
    </row>
    <row r="153" spans="1:8" x14ac:dyDescent="0.25">
      <c r="A153">
        <v>152</v>
      </c>
      <c r="B153" t="s">
        <v>1211</v>
      </c>
      <c r="C153" t="s">
        <v>1212</v>
      </c>
      <c r="D153">
        <v>1036.33</v>
      </c>
      <c r="E153">
        <v>1035.25</v>
      </c>
      <c r="F153">
        <v>1.08</v>
      </c>
      <c r="G153" t="s">
        <v>930</v>
      </c>
      <c r="H153" t="s">
        <v>953</v>
      </c>
    </row>
    <row r="154" spans="1:8" x14ac:dyDescent="0.25">
      <c r="A154">
        <v>153</v>
      </c>
      <c r="B154" t="s">
        <v>1213</v>
      </c>
      <c r="C154" t="s">
        <v>1214</v>
      </c>
      <c r="D154">
        <v>1031.8900000000001</v>
      </c>
      <c r="E154">
        <v>1039.8599999999999</v>
      </c>
      <c r="F154">
        <v>-7.97</v>
      </c>
      <c r="G154" t="s">
        <v>933</v>
      </c>
      <c r="H154" t="s">
        <v>1075</v>
      </c>
    </row>
    <row r="155" spans="1:8" x14ac:dyDescent="0.25">
      <c r="A155">
        <v>154</v>
      </c>
      <c r="B155" t="s">
        <v>1215</v>
      </c>
      <c r="C155" t="s">
        <v>1216</v>
      </c>
      <c r="D155">
        <v>1029.7</v>
      </c>
      <c r="E155">
        <v>1029.7</v>
      </c>
      <c r="F155">
        <v>0</v>
      </c>
      <c r="G155" t="s">
        <v>939</v>
      </c>
      <c r="H155" t="s">
        <v>1075</v>
      </c>
    </row>
    <row r="156" spans="1:8" x14ac:dyDescent="0.25">
      <c r="A156">
        <v>155</v>
      </c>
      <c r="B156" t="s">
        <v>1217</v>
      </c>
      <c r="C156" t="s">
        <v>1218</v>
      </c>
      <c r="D156">
        <v>1026.6300000000001</v>
      </c>
      <c r="E156">
        <v>1038.1400000000001</v>
      </c>
      <c r="F156">
        <v>-11.51</v>
      </c>
      <c r="G156" t="s">
        <v>951</v>
      </c>
      <c r="H156" t="s">
        <v>958</v>
      </c>
    </row>
    <row r="157" spans="1:8" x14ac:dyDescent="0.25">
      <c r="A157">
        <v>156</v>
      </c>
      <c r="B157" t="s">
        <v>1219</v>
      </c>
      <c r="C157" t="s">
        <v>1220</v>
      </c>
      <c r="D157">
        <v>1026.1099999999999</v>
      </c>
      <c r="E157">
        <v>1020.07</v>
      </c>
      <c r="F157">
        <v>6.04</v>
      </c>
      <c r="G157" t="s">
        <v>937</v>
      </c>
      <c r="H157" t="s">
        <v>953</v>
      </c>
    </row>
    <row r="158" spans="1:8" x14ac:dyDescent="0.25">
      <c r="A158">
        <v>157</v>
      </c>
      <c r="B158" t="s">
        <v>1221</v>
      </c>
      <c r="C158" t="s">
        <v>1222</v>
      </c>
      <c r="D158">
        <v>1019.04</v>
      </c>
      <c r="E158">
        <v>1019.04</v>
      </c>
      <c r="F158">
        <v>0</v>
      </c>
      <c r="G158" t="s">
        <v>937</v>
      </c>
      <c r="H158" t="s">
        <v>1075</v>
      </c>
    </row>
    <row r="159" spans="1:8" x14ac:dyDescent="0.25">
      <c r="A159">
        <v>158</v>
      </c>
      <c r="B159" t="s">
        <v>1223</v>
      </c>
      <c r="C159" t="s">
        <v>1224</v>
      </c>
      <c r="D159">
        <v>1011.88</v>
      </c>
      <c r="E159">
        <v>990.81</v>
      </c>
      <c r="F159">
        <v>21.07</v>
      </c>
      <c r="G159" t="s">
        <v>1179</v>
      </c>
      <c r="H159" t="s">
        <v>958</v>
      </c>
    </row>
    <row r="160" spans="1:8" x14ac:dyDescent="0.25">
      <c r="A160">
        <v>159</v>
      </c>
      <c r="B160" t="s">
        <v>1225</v>
      </c>
      <c r="C160" t="s">
        <v>1226</v>
      </c>
      <c r="D160">
        <v>1004.16</v>
      </c>
      <c r="E160">
        <v>1012.64</v>
      </c>
      <c r="F160">
        <v>-8.48</v>
      </c>
      <c r="G160" t="s">
        <v>933</v>
      </c>
      <c r="H160" t="s">
        <v>931</v>
      </c>
    </row>
    <row r="161" spans="1:8" x14ac:dyDescent="0.25">
      <c r="A161">
        <v>160</v>
      </c>
      <c r="B161" t="s">
        <v>1227</v>
      </c>
      <c r="C161" t="s">
        <v>1228</v>
      </c>
      <c r="D161">
        <v>997.01</v>
      </c>
      <c r="E161">
        <v>997.01</v>
      </c>
      <c r="F161">
        <v>0</v>
      </c>
      <c r="G161" t="s">
        <v>937</v>
      </c>
      <c r="H161" t="s">
        <v>1075</v>
      </c>
    </row>
    <row r="162" spans="1:8" x14ac:dyDescent="0.25">
      <c r="A162">
        <v>161</v>
      </c>
      <c r="B162" t="s">
        <v>1229</v>
      </c>
      <c r="C162" t="s">
        <v>1230</v>
      </c>
      <c r="D162">
        <v>987.73</v>
      </c>
      <c r="E162">
        <v>996.59</v>
      </c>
      <c r="F162">
        <v>-8.86</v>
      </c>
      <c r="G162" t="s">
        <v>937</v>
      </c>
      <c r="H162" t="s">
        <v>931</v>
      </c>
    </row>
    <row r="163" spans="1:8" x14ac:dyDescent="0.25">
      <c r="A163">
        <v>162</v>
      </c>
      <c r="B163" t="s">
        <v>1231</v>
      </c>
      <c r="C163" t="s">
        <v>1232</v>
      </c>
      <c r="D163">
        <v>986.58</v>
      </c>
      <c r="E163">
        <v>986.58</v>
      </c>
      <c r="F163">
        <v>0</v>
      </c>
      <c r="G163" t="s">
        <v>965</v>
      </c>
      <c r="H163" t="s">
        <v>953</v>
      </c>
    </row>
    <row r="164" spans="1:8" x14ac:dyDescent="0.25">
      <c r="A164">
        <v>163</v>
      </c>
      <c r="B164" t="s">
        <v>1233</v>
      </c>
      <c r="C164" t="s">
        <v>1234</v>
      </c>
      <c r="D164">
        <v>982.57</v>
      </c>
      <c r="E164">
        <v>989.59</v>
      </c>
      <c r="F164">
        <v>-7.02</v>
      </c>
      <c r="G164" t="s">
        <v>939</v>
      </c>
      <c r="H164" t="s">
        <v>953</v>
      </c>
    </row>
    <row r="165" spans="1:8" x14ac:dyDescent="0.25">
      <c r="A165">
        <v>164</v>
      </c>
      <c r="B165" t="s">
        <v>1235</v>
      </c>
      <c r="C165" t="s">
        <v>1236</v>
      </c>
      <c r="D165">
        <v>981.42</v>
      </c>
      <c r="E165">
        <v>980.49</v>
      </c>
      <c r="F165">
        <v>0.93</v>
      </c>
      <c r="G165" t="s">
        <v>930</v>
      </c>
      <c r="H165" t="s">
        <v>953</v>
      </c>
    </row>
    <row r="166" spans="1:8" x14ac:dyDescent="0.25">
      <c r="A166">
        <v>165</v>
      </c>
      <c r="B166" t="s">
        <v>1237</v>
      </c>
      <c r="C166" t="s">
        <v>1238</v>
      </c>
      <c r="D166">
        <v>979.01</v>
      </c>
      <c r="E166">
        <v>1010.52</v>
      </c>
      <c r="F166">
        <v>-31.51</v>
      </c>
      <c r="G166" t="s">
        <v>1239</v>
      </c>
      <c r="H166" t="s">
        <v>943</v>
      </c>
    </row>
    <row r="167" spans="1:8" x14ac:dyDescent="0.25">
      <c r="A167">
        <v>166</v>
      </c>
      <c r="B167" t="s">
        <v>1240</v>
      </c>
      <c r="C167" t="s">
        <v>1241</v>
      </c>
      <c r="D167">
        <v>976.87</v>
      </c>
      <c r="E167">
        <v>976.87</v>
      </c>
      <c r="F167">
        <v>0</v>
      </c>
      <c r="G167" t="s">
        <v>965</v>
      </c>
      <c r="H167" t="s">
        <v>953</v>
      </c>
    </row>
    <row r="168" spans="1:8" x14ac:dyDescent="0.25">
      <c r="A168">
        <v>167</v>
      </c>
      <c r="B168" t="s">
        <v>1242</v>
      </c>
      <c r="C168" t="s">
        <v>1243</v>
      </c>
      <c r="D168">
        <v>976.71</v>
      </c>
      <c r="E168">
        <v>980.28</v>
      </c>
      <c r="F168">
        <v>-3.57</v>
      </c>
      <c r="G168" t="s">
        <v>937</v>
      </c>
      <c r="H168" t="s">
        <v>953</v>
      </c>
    </row>
    <row r="169" spans="1:8" x14ac:dyDescent="0.25">
      <c r="A169">
        <v>168</v>
      </c>
      <c r="B169" t="s">
        <v>1244</v>
      </c>
      <c r="C169" t="s">
        <v>1245</v>
      </c>
      <c r="D169">
        <v>974.9</v>
      </c>
      <c r="E169">
        <v>974.9</v>
      </c>
      <c r="F169">
        <v>0</v>
      </c>
      <c r="G169" t="s">
        <v>930</v>
      </c>
      <c r="H169" t="s">
        <v>1075</v>
      </c>
    </row>
    <row r="170" spans="1:8" x14ac:dyDescent="0.25">
      <c r="A170">
        <v>169</v>
      </c>
      <c r="B170" t="s">
        <v>1246</v>
      </c>
      <c r="C170" t="s">
        <v>1247</v>
      </c>
      <c r="D170">
        <v>972.75</v>
      </c>
      <c r="E170">
        <v>991.19</v>
      </c>
      <c r="F170">
        <v>-18.440000000000001</v>
      </c>
      <c r="G170" t="s">
        <v>1022</v>
      </c>
      <c r="H170" t="s">
        <v>958</v>
      </c>
    </row>
    <row r="171" spans="1:8" x14ac:dyDescent="0.25">
      <c r="A171">
        <v>170</v>
      </c>
      <c r="B171" t="s">
        <v>1248</v>
      </c>
      <c r="C171" t="s">
        <v>1249</v>
      </c>
      <c r="D171">
        <v>970.94</v>
      </c>
      <c r="E171">
        <v>977.5</v>
      </c>
      <c r="F171">
        <v>-6.56</v>
      </c>
      <c r="G171" t="s">
        <v>951</v>
      </c>
      <c r="H171" t="s">
        <v>943</v>
      </c>
    </row>
    <row r="172" spans="1:8" x14ac:dyDescent="0.25">
      <c r="A172">
        <v>171</v>
      </c>
      <c r="B172" t="s">
        <v>1250</v>
      </c>
      <c r="C172" t="s">
        <v>1251</v>
      </c>
      <c r="D172">
        <v>968.27</v>
      </c>
      <c r="E172">
        <v>963.74</v>
      </c>
      <c r="F172">
        <v>4.53</v>
      </c>
      <c r="G172" t="s">
        <v>937</v>
      </c>
      <c r="H172" t="s">
        <v>953</v>
      </c>
    </row>
    <row r="173" spans="1:8" x14ac:dyDescent="0.25">
      <c r="A173">
        <v>172</v>
      </c>
      <c r="B173" t="s">
        <v>1252</v>
      </c>
      <c r="C173" t="s">
        <v>1253</v>
      </c>
      <c r="D173">
        <v>954.93</v>
      </c>
      <c r="E173">
        <v>945.02</v>
      </c>
      <c r="F173">
        <v>9.91</v>
      </c>
      <c r="G173" t="s">
        <v>939</v>
      </c>
      <c r="H173" t="s">
        <v>958</v>
      </c>
    </row>
    <row r="174" spans="1:8" x14ac:dyDescent="0.25">
      <c r="A174">
        <v>173</v>
      </c>
      <c r="B174" t="s">
        <v>1254</v>
      </c>
      <c r="C174" t="s">
        <v>1255</v>
      </c>
      <c r="D174">
        <v>945.34</v>
      </c>
      <c r="E174">
        <v>949.44</v>
      </c>
      <c r="F174">
        <v>-4.0999999999999996</v>
      </c>
      <c r="G174" t="s">
        <v>933</v>
      </c>
      <c r="H174" t="s">
        <v>931</v>
      </c>
    </row>
    <row r="175" spans="1:8" x14ac:dyDescent="0.25">
      <c r="A175">
        <v>174</v>
      </c>
      <c r="B175" t="s">
        <v>1256</v>
      </c>
      <c r="C175" t="s">
        <v>1257</v>
      </c>
      <c r="D175">
        <v>923.78</v>
      </c>
      <c r="E175">
        <v>938.21</v>
      </c>
      <c r="F175">
        <v>-14.43</v>
      </c>
      <c r="G175" t="s">
        <v>937</v>
      </c>
      <c r="H175" t="s">
        <v>958</v>
      </c>
    </row>
    <row r="176" spans="1:8" x14ac:dyDescent="0.25">
      <c r="A176">
        <v>175</v>
      </c>
      <c r="B176" t="s">
        <v>1258</v>
      </c>
      <c r="C176" t="s">
        <v>1259</v>
      </c>
      <c r="D176">
        <v>916.75</v>
      </c>
      <c r="E176">
        <v>916.75</v>
      </c>
      <c r="F176">
        <v>0</v>
      </c>
      <c r="G176" t="s">
        <v>937</v>
      </c>
      <c r="H176" t="s">
        <v>953</v>
      </c>
    </row>
    <row r="177" spans="1:8" x14ac:dyDescent="0.25">
      <c r="A177">
        <v>176</v>
      </c>
      <c r="B177" t="s">
        <v>1260</v>
      </c>
      <c r="C177" t="s">
        <v>1261</v>
      </c>
      <c r="D177">
        <v>914.54</v>
      </c>
      <c r="E177">
        <v>902.52</v>
      </c>
      <c r="F177">
        <v>12.02</v>
      </c>
      <c r="G177" t="s">
        <v>1038</v>
      </c>
      <c r="H177" t="s">
        <v>958</v>
      </c>
    </row>
    <row r="178" spans="1:8" x14ac:dyDescent="0.25">
      <c r="A178">
        <v>177</v>
      </c>
      <c r="B178" t="s">
        <v>1262</v>
      </c>
      <c r="C178" t="s">
        <v>1263</v>
      </c>
      <c r="D178">
        <v>911.54</v>
      </c>
      <c r="E178">
        <v>911.54</v>
      </c>
      <c r="F178">
        <v>0</v>
      </c>
      <c r="G178" t="s">
        <v>930</v>
      </c>
      <c r="H178" t="s">
        <v>958</v>
      </c>
    </row>
    <row r="179" spans="1:8" x14ac:dyDescent="0.25">
      <c r="A179">
        <v>178</v>
      </c>
      <c r="B179" t="s">
        <v>1264</v>
      </c>
      <c r="C179" t="s">
        <v>1265</v>
      </c>
      <c r="D179">
        <v>911.49</v>
      </c>
      <c r="E179">
        <v>915.51</v>
      </c>
      <c r="F179">
        <v>-4.0199999999999996</v>
      </c>
      <c r="G179" t="s">
        <v>951</v>
      </c>
      <c r="H179" t="s">
        <v>943</v>
      </c>
    </row>
    <row r="180" spans="1:8" x14ac:dyDescent="0.25">
      <c r="A180">
        <v>179</v>
      </c>
      <c r="B180" t="s">
        <v>1266</v>
      </c>
      <c r="C180" t="s">
        <v>1267</v>
      </c>
      <c r="D180">
        <v>909.89</v>
      </c>
      <c r="E180">
        <v>914.42</v>
      </c>
      <c r="F180">
        <v>-4.53</v>
      </c>
      <c r="G180" t="s">
        <v>933</v>
      </c>
      <c r="H180" t="s">
        <v>953</v>
      </c>
    </row>
    <row r="181" spans="1:8" x14ac:dyDescent="0.25">
      <c r="A181">
        <v>180</v>
      </c>
      <c r="B181" t="s">
        <v>1268</v>
      </c>
      <c r="C181" t="s">
        <v>1269</v>
      </c>
      <c r="D181">
        <v>907</v>
      </c>
      <c r="E181">
        <v>910.74</v>
      </c>
      <c r="F181">
        <v>-3.74</v>
      </c>
      <c r="G181" t="s">
        <v>939</v>
      </c>
      <c r="H181" t="s">
        <v>953</v>
      </c>
    </row>
    <row r="182" spans="1:8" x14ac:dyDescent="0.25">
      <c r="A182">
        <v>181</v>
      </c>
      <c r="B182" t="s">
        <v>1270</v>
      </c>
      <c r="C182" t="s">
        <v>1271</v>
      </c>
      <c r="D182">
        <v>899.53</v>
      </c>
      <c r="E182">
        <v>911.1</v>
      </c>
      <c r="F182">
        <v>-11.57</v>
      </c>
      <c r="G182" t="s">
        <v>933</v>
      </c>
      <c r="H182" t="s">
        <v>958</v>
      </c>
    </row>
    <row r="183" spans="1:8" x14ac:dyDescent="0.25">
      <c r="A183">
        <v>182</v>
      </c>
      <c r="B183" t="s">
        <v>1272</v>
      </c>
      <c r="C183" t="s">
        <v>1273</v>
      </c>
      <c r="D183">
        <v>897.69</v>
      </c>
      <c r="E183">
        <v>901.37</v>
      </c>
      <c r="F183">
        <v>-3.68</v>
      </c>
      <c r="G183" t="s">
        <v>939</v>
      </c>
      <c r="H183" t="s">
        <v>953</v>
      </c>
    </row>
    <row r="184" spans="1:8" x14ac:dyDescent="0.25">
      <c r="A184">
        <v>183</v>
      </c>
      <c r="B184" t="s">
        <v>1274</v>
      </c>
      <c r="C184" t="s">
        <v>1275</v>
      </c>
      <c r="D184">
        <v>896.85</v>
      </c>
      <c r="E184">
        <v>914.65</v>
      </c>
      <c r="F184">
        <v>-17.8</v>
      </c>
      <c r="G184" t="s">
        <v>1239</v>
      </c>
      <c r="H184" t="s">
        <v>943</v>
      </c>
    </row>
    <row r="185" spans="1:8" x14ac:dyDescent="0.25">
      <c r="A185">
        <v>184</v>
      </c>
      <c r="B185" t="s">
        <v>1276</v>
      </c>
      <c r="C185" t="s">
        <v>1277</v>
      </c>
      <c r="D185">
        <v>887.06</v>
      </c>
      <c r="E185">
        <v>0</v>
      </c>
      <c r="F185">
        <v>887.06</v>
      </c>
      <c r="G185" t="s">
        <v>1278</v>
      </c>
      <c r="H185" t="s">
        <v>943</v>
      </c>
    </row>
    <row r="186" spans="1:8" x14ac:dyDescent="0.25">
      <c r="A186">
        <v>185</v>
      </c>
      <c r="B186" t="s">
        <v>1279</v>
      </c>
      <c r="C186" t="s">
        <v>1280</v>
      </c>
      <c r="D186">
        <v>885.03</v>
      </c>
      <c r="E186">
        <v>871.16</v>
      </c>
      <c r="F186">
        <v>13.87</v>
      </c>
      <c r="G186" t="s">
        <v>1179</v>
      </c>
      <c r="H186" t="s">
        <v>958</v>
      </c>
    </row>
    <row r="187" spans="1:8" x14ac:dyDescent="0.25">
      <c r="A187">
        <v>186</v>
      </c>
      <c r="B187" t="s">
        <v>1281</v>
      </c>
      <c r="C187" t="s">
        <v>1282</v>
      </c>
      <c r="D187">
        <v>880.55</v>
      </c>
      <c r="E187">
        <v>867.86</v>
      </c>
      <c r="F187">
        <v>12.69</v>
      </c>
      <c r="G187" t="s">
        <v>1038</v>
      </c>
      <c r="H187" t="s">
        <v>958</v>
      </c>
    </row>
    <row r="188" spans="1:8" x14ac:dyDescent="0.25">
      <c r="A188">
        <v>187</v>
      </c>
      <c r="B188" t="s">
        <v>1283</v>
      </c>
      <c r="C188" t="s">
        <v>1284</v>
      </c>
      <c r="D188">
        <v>879.75</v>
      </c>
      <c r="E188">
        <v>879.75</v>
      </c>
      <c r="F188">
        <v>0</v>
      </c>
      <c r="G188" t="s">
        <v>951</v>
      </c>
      <c r="H188" t="s">
        <v>958</v>
      </c>
    </row>
    <row r="189" spans="1:8" x14ac:dyDescent="0.25">
      <c r="A189">
        <v>188</v>
      </c>
      <c r="B189" t="s">
        <v>1285</v>
      </c>
      <c r="C189" t="s">
        <v>1286</v>
      </c>
      <c r="D189">
        <v>877.53</v>
      </c>
      <c r="E189">
        <v>877.53</v>
      </c>
      <c r="F189">
        <v>0</v>
      </c>
      <c r="G189" t="s">
        <v>951</v>
      </c>
      <c r="H189" t="s">
        <v>1075</v>
      </c>
    </row>
    <row r="190" spans="1:8" x14ac:dyDescent="0.25">
      <c r="A190">
        <v>189</v>
      </c>
      <c r="B190" t="s">
        <v>1287</v>
      </c>
      <c r="C190" t="s">
        <v>1288</v>
      </c>
      <c r="D190">
        <v>877.3</v>
      </c>
      <c r="E190">
        <v>867.94</v>
      </c>
      <c r="F190">
        <v>9.36</v>
      </c>
      <c r="G190" t="s">
        <v>930</v>
      </c>
      <c r="H190" t="s">
        <v>953</v>
      </c>
    </row>
    <row r="191" spans="1:8" x14ac:dyDescent="0.25">
      <c r="A191">
        <v>190</v>
      </c>
      <c r="B191" t="s">
        <v>1289</v>
      </c>
      <c r="C191" t="s">
        <v>1290</v>
      </c>
      <c r="D191">
        <v>876.41</v>
      </c>
      <c r="E191">
        <v>876.41</v>
      </c>
      <c r="F191">
        <v>0</v>
      </c>
      <c r="G191" t="s">
        <v>970</v>
      </c>
      <c r="H191" t="s">
        <v>1075</v>
      </c>
    </row>
    <row r="192" spans="1:8" x14ac:dyDescent="0.25">
      <c r="A192">
        <v>191</v>
      </c>
      <c r="B192" t="s">
        <v>1291</v>
      </c>
      <c r="C192" t="s">
        <v>1292</v>
      </c>
      <c r="D192">
        <v>871.82</v>
      </c>
      <c r="E192">
        <v>857.4</v>
      </c>
      <c r="F192">
        <v>14.42</v>
      </c>
      <c r="G192" t="s">
        <v>965</v>
      </c>
      <c r="H192" t="s">
        <v>958</v>
      </c>
    </row>
    <row r="193" spans="1:8" x14ac:dyDescent="0.25">
      <c r="A193">
        <v>192</v>
      </c>
      <c r="B193" t="s">
        <v>1293</v>
      </c>
      <c r="C193" t="s">
        <v>1294</v>
      </c>
      <c r="D193">
        <v>871.61</v>
      </c>
      <c r="E193">
        <v>883.17</v>
      </c>
      <c r="F193">
        <v>-11.56</v>
      </c>
      <c r="G193" t="s">
        <v>1295</v>
      </c>
      <c r="H193" t="s">
        <v>1075</v>
      </c>
    </row>
    <row r="194" spans="1:8" x14ac:dyDescent="0.25">
      <c r="A194">
        <v>193</v>
      </c>
      <c r="B194" t="s">
        <v>1296</v>
      </c>
      <c r="C194" t="s">
        <v>1297</v>
      </c>
      <c r="D194">
        <v>863.09</v>
      </c>
      <c r="E194">
        <v>875.78</v>
      </c>
      <c r="F194">
        <v>-12.69</v>
      </c>
      <c r="G194" t="s">
        <v>997</v>
      </c>
      <c r="H194" t="s">
        <v>958</v>
      </c>
    </row>
    <row r="195" spans="1:8" x14ac:dyDescent="0.25">
      <c r="A195">
        <v>194</v>
      </c>
      <c r="B195" t="s">
        <v>1298</v>
      </c>
      <c r="C195" t="s">
        <v>1299</v>
      </c>
      <c r="D195">
        <v>858.03</v>
      </c>
      <c r="E195">
        <v>865.29</v>
      </c>
      <c r="F195">
        <v>-7.26</v>
      </c>
      <c r="G195" t="s">
        <v>933</v>
      </c>
      <c r="H195" t="s">
        <v>958</v>
      </c>
    </row>
    <row r="196" spans="1:8" x14ac:dyDescent="0.25">
      <c r="A196">
        <v>195</v>
      </c>
      <c r="B196" t="s">
        <v>1300</v>
      </c>
      <c r="C196" t="s">
        <v>1301</v>
      </c>
      <c r="D196">
        <v>855.45</v>
      </c>
      <c r="E196">
        <v>851.74</v>
      </c>
      <c r="F196">
        <v>3.71</v>
      </c>
      <c r="G196" t="s">
        <v>937</v>
      </c>
      <c r="H196" t="s">
        <v>953</v>
      </c>
    </row>
    <row r="197" spans="1:8" x14ac:dyDescent="0.25">
      <c r="A197">
        <v>196</v>
      </c>
      <c r="B197" t="s">
        <v>1302</v>
      </c>
      <c r="C197" t="s">
        <v>1303</v>
      </c>
      <c r="D197">
        <v>855.44</v>
      </c>
      <c r="E197">
        <v>871.63</v>
      </c>
      <c r="F197">
        <v>-16.190000000000001</v>
      </c>
      <c r="G197" t="s">
        <v>1022</v>
      </c>
      <c r="H197" t="s">
        <v>943</v>
      </c>
    </row>
    <row r="198" spans="1:8" x14ac:dyDescent="0.25">
      <c r="A198">
        <v>197</v>
      </c>
      <c r="B198" t="s">
        <v>1304</v>
      </c>
      <c r="C198" t="s">
        <v>1305</v>
      </c>
      <c r="D198">
        <v>853.58</v>
      </c>
      <c r="E198">
        <v>847.03</v>
      </c>
      <c r="F198">
        <v>6.55</v>
      </c>
      <c r="G198" t="s">
        <v>933</v>
      </c>
      <c r="H198" t="s">
        <v>943</v>
      </c>
    </row>
    <row r="199" spans="1:8" x14ac:dyDescent="0.25">
      <c r="A199">
        <v>198</v>
      </c>
      <c r="B199" t="s">
        <v>1306</v>
      </c>
      <c r="C199" t="s">
        <v>1307</v>
      </c>
      <c r="D199">
        <v>839.17</v>
      </c>
      <c r="E199">
        <v>828.9</v>
      </c>
      <c r="F199">
        <v>10.27</v>
      </c>
      <c r="G199" t="s">
        <v>930</v>
      </c>
      <c r="H199" t="s">
        <v>943</v>
      </c>
    </row>
    <row r="200" spans="1:8" x14ac:dyDescent="0.25">
      <c r="A200">
        <v>199</v>
      </c>
      <c r="B200" t="s">
        <v>1308</v>
      </c>
      <c r="C200" t="s">
        <v>1309</v>
      </c>
      <c r="D200">
        <v>835.64</v>
      </c>
      <c r="E200">
        <v>835.64</v>
      </c>
      <c r="F200">
        <v>0</v>
      </c>
      <c r="G200" t="s">
        <v>951</v>
      </c>
      <c r="H200" t="s">
        <v>1075</v>
      </c>
    </row>
    <row r="201" spans="1:8" x14ac:dyDescent="0.25">
      <c r="A201">
        <v>200</v>
      </c>
      <c r="B201" t="s">
        <v>1310</v>
      </c>
      <c r="C201" t="s">
        <v>1311</v>
      </c>
      <c r="D201">
        <v>825.64</v>
      </c>
      <c r="E201">
        <v>835.55</v>
      </c>
      <c r="F201">
        <v>-9.91</v>
      </c>
      <c r="G201" t="s">
        <v>951</v>
      </c>
      <c r="H201" t="s">
        <v>958</v>
      </c>
    </row>
    <row r="202" spans="1:8" x14ac:dyDescent="0.25">
      <c r="A202">
        <v>201</v>
      </c>
      <c r="B202" t="s">
        <v>1312</v>
      </c>
      <c r="C202" t="s">
        <v>1313</v>
      </c>
      <c r="D202">
        <v>825.43</v>
      </c>
      <c r="E202">
        <v>823.08</v>
      </c>
      <c r="F202">
        <v>2.35</v>
      </c>
      <c r="G202" t="s">
        <v>937</v>
      </c>
      <c r="H202" t="s">
        <v>958</v>
      </c>
    </row>
    <row r="203" spans="1:8" x14ac:dyDescent="0.25">
      <c r="A203">
        <v>202</v>
      </c>
      <c r="B203" t="s">
        <v>1314</v>
      </c>
      <c r="C203" t="s">
        <v>1315</v>
      </c>
      <c r="D203">
        <v>824.6</v>
      </c>
      <c r="E203">
        <v>833.16</v>
      </c>
      <c r="F203">
        <v>-8.56</v>
      </c>
      <c r="G203" t="s">
        <v>970</v>
      </c>
      <c r="H203" t="s">
        <v>958</v>
      </c>
    </row>
    <row r="204" spans="1:8" x14ac:dyDescent="0.25">
      <c r="A204">
        <v>203</v>
      </c>
      <c r="B204" t="s">
        <v>1316</v>
      </c>
      <c r="C204" t="s">
        <v>1317</v>
      </c>
      <c r="D204">
        <v>810.14</v>
      </c>
      <c r="E204">
        <v>818.03</v>
      </c>
      <c r="F204">
        <v>-7.89</v>
      </c>
      <c r="G204" t="s">
        <v>933</v>
      </c>
      <c r="H204" t="s">
        <v>931</v>
      </c>
    </row>
    <row r="205" spans="1:8" x14ac:dyDescent="0.25">
      <c r="A205">
        <v>204</v>
      </c>
      <c r="B205" t="s">
        <v>1318</v>
      </c>
      <c r="C205" t="s">
        <v>1319</v>
      </c>
      <c r="D205">
        <v>804.16</v>
      </c>
      <c r="E205">
        <v>805.33</v>
      </c>
      <c r="F205">
        <v>-1.17</v>
      </c>
      <c r="G205" t="s">
        <v>933</v>
      </c>
      <c r="H205" t="s">
        <v>943</v>
      </c>
    </row>
    <row r="206" spans="1:8" x14ac:dyDescent="0.25">
      <c r="A206">
        <v>205</v>
      </c>
      <c r="B206" t="s">
        <v>1320</v>
      </c>
      <c r="C206" t="s">
        <v>1321</v>
      </c>
      <c r="D206">
        <v>803.98</v>
      </c>
      <c r="E206">
        <v>803.98</v>
      </c>
      <c r="F206">
        <v>0</v>
      </c>
      <c r="G206" t="s">
        <v>933</v>
      </c>
      <c r="H206" t="s">
        <v>953</v>
      </c>
    </row>
    <row r="207" spans="1:8" x14ac:dyDescent="0.25">
      <c r="A207">
        <v>206</v>
      </c>
      <c r="B207" t="s">
        <v>1322</v>
      </c>
      <c r="C207" t="s">
        <v>1323</v>
      </c>
      <c r="D207">
        <v>803.57</v>
      </c>
      <c r="E207">
        <v>799.8</v>
      </c>
      <c r="F207">
        <v>3.77</v>
      </c>
      <c r="G207" t="s">
        <v>933</v>
      </c>
      <c r="H207" t="s">
        <v>931</v>
      </c>
    </row>
    <row r="208" spans="1:8" x14ac:dyDescent="0.25">
      <c r="A208">
        <v>207</v>
      </c>
      <c r="B208" t="s">
        <v>1324</v>
      </c>
      <c r="C208" t="s">
        <v>1325</v>
      </c>
      <c r="D208">
        <v>786.82</v>
      </c>
      <c r="E208">
        <v>796.6</v>
      </c>
      <c r="F208">
        <v>-9.7799999999999994</v>
      </c>
      <c r="G208" t="s">
        <v>933</v>
      </c>
      <c r="H208" t="s">
        <v>953</v>
      </c>
    </row>
    <row r="209" spans="1:8" x14ac:dyDescent="0.25">
      <c r="A209">
        <v>208</v>
      </c>
      <c r="B209" t="s">
        <v>1326</v>
      </c>
      <c r="C209" t="s">
        <v>1327</v>
      </c>
      <c r="D209">
        <v>782.14</v>
      </c>
      <c r="E209">
        <v>776.54</v>
      </c>
      <c r="F209">
        <v>5.6</v>
      </c>
      <c r="G209" t="s">
        <v>937</v>
      </c>
      <c r="H209" t="s">
        <v>953</v>
      </c>
    </row>
    <row r="210" spans="1:8" x14ac:dyDescent="0.25">
      <c r="A210">
        <v>209</v>
      </c>
      <c r="B210" t="s">
        <v>1328</v>
      </c>
      <c r="C210" t="s">
        <v>1329</v>
      </c>
      <c r="D210">
        <v>779.76</v>
      </c>
      <c r="E210">
        <v>776.6</v>
      </c>
      <c r="F210">
        <v>3.16</v>
      </c>
      <c r="G210" t="s">
        <v>951</v>
      </c>
      <c r="H210" t="s">
        <v>953</v>
      </c>
    </row>
    <row r="211" spans="1:8" x14ac:dyDescent="0.25">
      <c r="A211">
        <v>210</v>
      </c>
      <c r="B211" t="s">
        <v>1330</v>
      </c>
      <c r="C211" t="s">
        <v>1331</v>
      </c>
      <c r="D211">
        <v>760.25</v>
      </c>
      <c r="E211">
        <v>759.78</v>
      </c>
      <c r="F211">
        <v>0.47</v>
      </c>
      <c r="G211" t="s">
        <v>933</v>
      </c>
      <c r="H211" t="s">
        <v>953</v>
      </c>
    </row>
    <row r="212" spans="1:8" x14ac:dyDescent="0.25">
      <c r="A212">
        <v>211</v>
      </c>
      <c r="B212" t="s">
        <v>1332</v>
      </c>
      <c r="C212" t="s">
        <v>1333</v>
      </c>
      <c r="D212">
        <v>726.33</v>
      </c>
      <c r="E212">
        <v>726.03</v>
      </c>
      <c r="F212">
        <v>0.3</v>
      </c>
      <c r="G212" t="s">
        <v>933</v>
      </c>
      <c r="H212" t="s">
        <v>931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Instrucciones</vt:lpstr>
      <vt:lpstr>Grupos</vt:lpstr>
      <vt:lpstr>Mejores Terceros</vt:lpstr>
      <vt:lpstr>Backend</vt:lpstr>
      <vt:lpstr>Eliminatorias</vt:lpstr>
      <vt:lpstr>Calendario de Juegos</vt:lpstr>
      <vt:lpstr>Calendario 2</vt:lpstr>
      <vt:lpstr>RankingFIFA</vt:lpstr>
      <vt:lpstr>MatrizTerceros</vt:lpstr>
      <vt:lpstr>Ranking FIFA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Salvador Velasco Téllez</cp:lastModifiedBy>
  <dcterms:created xsi:type="dcterms:W3CDTF">2026-05-21T20:43:28Z</dcterms:created>
  <dcterms:modified xsi:type="dcterms:W3CDTF">2026-06-04T04:21:22Z</dcterms:modified>
</cp:coreProperties>
</file>