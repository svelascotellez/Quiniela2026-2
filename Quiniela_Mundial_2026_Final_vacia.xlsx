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8_{6D37480E-CFF4-4405-B686-1E35A389D267}" xr6:coauthVersionLast="47" xr6:coauthVersionMax="47" xr10:uidLastSave="{00000000-0000-0000-0000-000000000000}"/>
  <bookViews>
    <workbookView xWindow="-3495" yWindow="-19440" windowWidth="28800" windowHeight="15345" activeTab="3" xr2:uid="{00000000-000D-0000-FFFF-FFFF00000000}"/>
  </bookViews>
  <sheets>
    <sheet name="Instrucciones" sheetId="1" r:id="rId1"/>
    <sheet name="Grupos" sheetId="2" r:id="rId2"/>
    <sheet name="Backend" sheetId="3" state="hidden" r:id="rId3"/>
    <sheet name="Eliminatori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3" l="1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H99" i="2"/>
  <c r="H98" i="2"/>
  <c r="H97" i="2"/>
  <c r="H96" i="2"/>
  <c r="H95" i="2"/>
  <c r="H94" i="2"/>
  <c r="H91" i="2"/>
  <c r="H90" i="2"/>
  <c r="H89" i="2"/>
  <c r="H88" i="2"/>
  <c r="H87" i="2"/>
  <c r="H86" i="2"/>
  <c r="H83" i="2"/>
  <c r="H82" i="2"/>
  <c r="H81" i="2"/>
  <c r="H80" i="2"/>
  <c r="H79" i="2"/>
  <c r="H78" i="2"/>
  <c r="Q75" i="2"/>
  <c r="P75" i="2"/>
  <c r="O75" i="2"/>
  <c r="N75" i="2"/>
  <c r="M75" i="2"/>
  <c r="S75" i="2" s="1"/>
  <c r="L75" i="2"/>
  <c r="H75" i="2"/>
  <c r="Q74" i="2"/>
  <c r="P74" i="2"/>
  <c r="O74" i="2"/>
  <c r="N74" i="2"/>
  <c r="M74" i="2"/>
  <c r="L74" i="2"/>
  <c r="H74" i="2"/>
  <c r="Q73" i="2"/>
  <c r="P73" i="2"/>
  <c r="O73" i="2"/>
  <c r="N73" i="2"/>
  <c r="M73" i="2"/>
  <c r="S73" i="2" s="1"/>
  <c r="L73" i="2"/>
  <c r="H73" i="2"/>
  <c r="Q72" i="2"/>
  <c r="P72" i="2"/>
  <c r="O72" i="2"/>
  <c r="N72" i="2"/>
  <c r="M72" i="2"/>
  <c r="L72" i="2"/>
  <c r="H72" i="2"/>
  <c r="H71" i="2"/>
  <c r="H70" i="2"/>
  <c r="Q69" i="2"/>
  <c r="P69" i="2"/>
  <c r="R69" i="2" s="1"/>
  <c r="O69" i="2"/>
  <c r="N69" i="2"/>
  <c r="M69" i="2"/>
  <c r="S69" i="2" s="1"/>
  <c r="T69" i="2" s="1"/>
  <c r="C45" i="3" s="1"/>
  <c r="L69" i="2"/>
  <c r="Q68" i="2"/>
  <c r="P68" i="2"/>
  <c r="O68" i="2"/>
  <c r="N68" i="2"/>
  <c r="M68" i="2"/>
  <c r="L68" i="2"/>
  <c r="Q67" i="2"/>
  <c r="P67" i="2"/>
  <c r="O67" i="2"/>
  <c r="N67" i="2"/>
  <c r="M67" i="2"/>
  <c r="S67" i="2" s="1"/>
  <c r="L67" i="2"/>
  <c r="H67" i="2"/>
  <c r="Q66" i="2"/>
  <c r="P66" i="2"/>
  <c r="O66" i="2"/>
  <c r="N66" i="2"/>
  <c r="M66" i="2"/>
  <c r="L66" i="2"/>
  <c r="H66" i="2"/>
  <c r="H65" i="2"/>
  <c r="H64" i="2"/>
  <c r="Q63" i="2"/>
  <c r="P63" i="2"/>
  <c r="R63" i="2" s="1"/>
  <c r="O63" i="2"/>
  <c r="N63" i="2"/>
  <c r="M63" i="2"/>
  <c r="S63" i="2" s="1"/>
  <c r="T63" i="2" s="1"/>
  <c r="C41" i="3" s="1"/>
  <c r="L63" i="2"/>
  <c r="H63" i="2"/>
  <c r="Q62" i="2"/>
  <c r="P62" i="2"/>
  <c r="R62" i="2" s="1"/>
  <c r="O62" i="2"/>
  <c r="N62" i="2"/>
  <c r="M62" i="2"/>
  <c r="L62" i="2"/>
  <c r="H62" i="2"/>
  <c r="Q61" i="2"/>
  <c r="P61" i="2"/>
  <c r="R61" i="2" s="1"/>
  <c r="O61" i="2"/>
  <c r="N61" i="2"/>
  <c r="M61" i="2"/>
  <c r="S61" i="2" s="1"/>
  <c r="T61" i="2" s="1"/>
  <c r="C39" i="3" s="1"/>
  <c r="L61" i="2"/>
  <c r="Q60" i="2"/>
  <c r="P60" i="2"/>
  <c r="O60" i="2"/>
  <c r="N60" i="2"/>
  <c r="M60" i="2"/>
  <c r="L60" i="2"/>
  <c r="H59" i="2"/>
  <c r="H58" i="2"/>
  <c r="Q57" i="2"/>
  <c r="P57" i="2"/>
  <c r="R57" i="2" s="1"/>
  <c r="O57" i="2"/>
  <c r="N57" i="2"/>
  <c r="M57" i="2"/>
  <c r="S57" i="2" s="1"/>
  <c r="L57" i="2"/>
  <c r="H57" i="2"/>
  <c r="Q56" i="2"/>
  <c r="P56" i="2"/>
  <c r="R56" i="2" s="1"/>
  <c r="O56" i="2"/>
  <c r="N56" i="2"/>
  <c r="M56" i="2"/>
  <c r="L56" i="2"/>
  <c r="H56" i="2"/>
  <c r="Q55" i="2"/>
  <c r="P55" i="2"/>
  <c r="R55" i="2" s="1"/>
  <c r="O55" i="2"/>
  <c r="N55" i="2"/>
  <c r="M55" i="2"/>
  <c r="S55" i="2" s="1"/>
  <c r="L55" i="2"/>
  <c r="H55" i="2"/>
  <c r="Q54" i="2"/>
  <c r="P54" i="2"/>
  <c r="R54" i="2" s="1"/>
  <c r="O54" i="2"/>
  <c r="N54" i="2"/>
  <c r="M54" i="2"/>
  <c r="L54" i="2"/>
  <c r="H54" i="2"/>
  <c r="Q51" i="2"/>
  <c r="P51" i="2"/>
  <c r="R51" i="2" s="1"/>
  <c r="O51" i="2"/>
  <c r="N51" i="2"/>
  <c r="M51" i="2"/>
  <c r="S51" i="2" s="1"/>
  <c r="T51" i="2" s="1"/>
  <c r="C33" i="3" s="1"/>
  <c r="L51" i="2"/>
  <c r="H51" i="2"/>
  <c r="Q50" i="2"/>
  <c r="P50" i="2"/>
  <c r="R50" i="2" s="1"/>
  <c r="O50" i="2"/>
  <c r="N50" i="2"/>
  <c r="M50" i="2"/>
  <c r="L50" i="2"/>
  <c r="H50" i="2"/>
  <c r="Q49" i="2"/>
  <c r="P49" i="2"/>
  <c r="R49" i="2" s="1"/>
  <c r="O49" i="2"/>
  <c r="N49" i="2"/>
  <c r="M49" i="2"/>
  <c r="L49" i="2"/>
  <c r="H49" i="2"/>
  <c r="Q48" i="2"/>
  <c r="P48" i="2"/>
  <c r="R48" i="2" s="1"/>
  <c r="O48" i="2"/>
  <c r="N48" i="2"/>
  <c r="M48" i="2"/>
  <c r="L48" i="2"/>
  <c r="H48" i="2"/>
  <c r="H47" i="2"/>
  <c r="H46" i="2"/>
  <c r="Q45" i="2"/>
  <c r="P45" i="2"/>
  <c r="R45" i="2" s="1"/>
  <c r="O45" i="2"/>
  <c r="N45" i="2"/>
  <c r="M45" i="2"/>
  <c r="L45" i="2"/>
  <c r="Q44" i="2"/>
  <c r="P44" i="2"/>
  <c r="R44" i="2" s="1"/>
  <c r="O44" i="2"/>
  <c r="N44" i="2"/>
  <c r="M44" i="2"/>
  <c r="L44" i="2"/>
  <c r="Q43" i="2"/>
  <c r="P43" i="2"/>
  <c r="R43" i="2" s="1"/>
  <c r="O43" i="2"/>
  <c r="N43" i="2"/>
  <c r="M43" i="2"/>
  <c r="S43" i="2" s="1"/>
  <c r="L43" i="2"/>
  <c r="H43" i="2"/>
  <c r="Q42" i="2"/>
  <c r="P42" i="2"/>
  <c r="R42" i="2" s="1"/>
  <c r="O42" i="2"/>
  <c r="N42" i="2"/>
  <c r="M42" i="2"/>
  <c r="L42" i="2"/>
  <c r="H42" i="2"/>
  <c r="H41" i="2"/>
  <c r="H40" i="2"/>
  <c r="Q39" i="2"/>
  <c r="P39" i="2"/>
  <c r="O39" i="2"/>
  <c r="N39" i="2"/>
  <c r="M39" i="2"/>
  <c r="S39" i="2" s="1"/>
  <c r="L39" i="2"/>
  <c r="H39" i="2"/>
  <c r="Q38" i="2"/>
  <c r="P38" i="2"/>
  <c r="O38" i="2"/>
  <c r="N38" i="2"/>
  <c r="M38" i="2"/>
  <c r="L38" i="2"/>
  <c r="H38" i="2"/>
  <c r="Q37" i="2"/>
  <c r="P37" i="2"/>
  <c r="R37" i="2" s="1"/>
  <c r="O37" i="2"/>
  <c r="N37" i="2"/>
  <c r="M37" i="2"/>
  <c r="S37" i="2" s="1"/>
  <c r="T37" i="2" s="1"/>
  <c r="C23" i="3" s="1"/>
  <c r="L37" i="2"/>
  <c r="Q36" i="2"/>
  <c r="P36" i="2"/>
  <c r="O36" i="2"/>
  <c r="N36" i="2"/>
  <c r="M36" i="2"/>
  <c r="S36" i="2" s="1"/>
  <c r="L36" i="2"/>
  <c r="H35" i="2"/>
  <c r="H34" i="2"/>
  <c r="Q33" i="2"/>
  <c r="P33" i="2"/>
  <c r="R33" i="2" s="1"/>
  <c r="O33" i="2"/>
  <c r="N33" i="2"/>
  <c r="M33" i="2"/>
  <c r="L33" i="2"/>
  <c r="H33" i="2"/>
  <c r="Q32" i="2"/>
  <c r="P32" i="2"/>
  <c r="O32" i="2"/>
  <c r="N32" i="2"/>
  <c r="M32" i="2"/>
  <c r="S32" i="2" s="1"/>
  <c r="L32" i="2"/>
  <c r="H32" i="2"/>
  <c r="Q31" i="2"/>
  <c r="P31" i="2"/>
  <c r="R31" i="2" s="1"/>
  <c r="O31" i="2"/>
  <c r="N31" i="2"/>
  <c r="M31" i="2"/>
  <c r="L31" i="2"/>
  <c r="H31" i="2"/>
  <c r="Q30" i="2"/>
  <c r="P30" i="2"/>
  <c r="O30" i="2"/>
  <c r="N30" i="2"/>
  <c r="M30" i="2"/>
  <c r="L30" i="2"/>
  <c r="H30" i="2"/>
  <c r="Q27" i="2"/>
  <c r="P27" i="2"/>
  <c r="R27" i="2" s="1"/>
  <c r="O27" i="2"/>
  <c r="N27" i="2"/>
  <c r="M27" i="2"/>
  <c r="L27" i="2"/>
  <c r="H27" i="2"/>
  <c r="Q26" i="2"/>
  <c r="R26" i="2" s="1"/>
  <c r="P26" i="2"/>
  <c r="O26" i="2"/>
  <c r="N26" i="2"/>
  <c r="M26" i="2"/>
  <c r="S26" i="2" s="1"/>
  <c r="L26" i="2"/>
  <c r="H26" i="2"/>
  <c r="Q25" i="2"/>
  <c r="P25" i="2"/>
  <c r="R25" i="2" s="1"/>
  <c r="O25" i="2"/>
  <c r="N25" i="2"/>
  <c r="M25" i="2"/>
  <c r="S25" i="2" s="1"/>
  <c r="T25" i="2" s="1"/>
  <c r="C15" i="3" s="1"/>
  <c r="L25" i="2"/>
  <c r="H25" i="2"/>
  <c r="Q24" i="2"/>
  <c r="P24" i="2"/>
  <c r="O24" i="2"/>
  <c r="N24" i="2"/>
  <c r="M24" i="2"/>
  <c r="L24" i="2"/>
  <c r="H24" i="2"/>
  <c r="H23" i="2"/>
  <c r="H22" i="2"/>
  <c r="Q21" i="2"/>
  <c r="P21" i="2"/>
  <c r="O21" i="2"/>
  <c r="N21" i="2"/>
  <c r="M21" i="2"/>
  <c r="S21" i="2" s="1"/>
  <c r="L21" i="2"/>
  <c r="Q20" i="2"/>
  <c r="P20" i="2"/>
  <c r="O20" i="2"/>
  <c r="N20" i="2"/>
  <c r="M20" i="2"/>
  <c r="S20" i="2" s="1"/>
  <c r="L20" i="2"/>
  <c r="Q19" i="2"/>
  <c r="P19" i="2"/>
  <c r="R19" i="2" s="1"/>
  <c r="O19" i="2"/>
  <c r="N19" i="2"/>
  <c r="M19" i="2"/>
  <c r="L19" i="2"/>
  <c r="H19" i="2"/>
  <c r="Q18" i="2"/>
  <c r="P18" i="2"/>
  <c r="O18" i="2"/>
  <c r="N18" i="2"/>
  <c r="M18" i="2"/>
  <c r="L18" i="2"/>
  <c r="H18" i="2"/>
  <c r="H17" i="2"/>
  <c r="H16" i="2"/>
  <c r="Q15" i="2"/>
  <c r="P15" i="2"/>
  <c r="R15" i="2" s="1"/>
  <c r="O15" i="2"/>
  <c r="N15" i="2"/>
  <c r="M15" i="2"/>
  <c r="L15" i="2"/>
  <c r="H15" i="2"/>
  <c r="Q14" i="2"/>
  <c r="P14" i="2"/>
  <c r="O14" i="2"/>
  <c r="N14" i="2"/>
  <c r="M14" i="2"/>
  <c r="L14" i="2"/>
  <c r="H14" i="2"/>
  <c r="Q13" i="2"/>
  <c r="P13" i="2"/>
  <c r="R13" i="2" s="1"/>
  <c r="O13" i="2"/>
  <c r="N13" i="2"/>
  <c r="M13" i="2"/>
  <c r="L13" i="2"/>
  <c r="Q12" i="2"/>
  <c r="P12" i="2"/>
  <c r="O12" i="2"/>
  <c r="N12" i="2"/>
  <c r="M12" i="2"/>
  <c r="S12" i="2" s="1"/>
  <c r="L12" i="2"/>
  <c r="H11" i="2"/>
  <c r="H10" i="2"/>
  <c r="Q9" i="2"/>
  <c r="P9" i="2"/>
  <c r="O9" i="2"/>
  <c r="N9" i="2"/>
  <c r="M9" i="2"/>
  <c r="L9" i="2"/>
  <c r="H9" i="2"/>
  <c r="Q8" i="2"/>
  <c r="P8" i="2"/>
  <c r="O8" i="2"/>
  <c r="N8" i="2"/>
  <c r="M8" i="2"/>
  <c r="L8" i="2"/>
  <c r="H8" i="2"/>
  <c r="Q7" i="2"/>
  <c r="P7" i="2"/>
  <c r="O7" i="2"/>
  <c r="N7" i="2"/>
  <c r="M7" i="2"/>
  <c r="S7" i="2" s="1"/>
  <c r="L7" i="2"/>
  <c r="H7" i="2"/>
  <c r="Q6" i="2"/>
  <c r="P6" i="2"/>
  <c r="R6" i="2" s="1"/>
  <c r="O6" i="2"/>
  <c r="N6" i="2"/>
  <c r="M6" i="2"/>
  <c r="L6" i="2"/>
  <c r="H6" i="2"/>
  <c r="R75" i="2" l="1"/>
  <c r="T75" i="2" s="1"/>
  <c r="C49" i="3" s="1"/>
  <c r="S74" i="2"/>
  <c r="R74" i="2"/>
  <c r="R73" i="2"/>
  <c r="T73" i="2" s="1"/>
  <c r="C47" i="3" s="1"/>
  <c r="S72" i="2"/>
  <c r="R72" i="2"/>
  <c r="S68" i="2"/>
  <c r="S66" i="2"/>
  <c r="R66" i="2"/>
  <c r="R68" i="2"/>
  <c r="R67" i="2"/>
  <c r="T67" i="2" s="1"/>
  <c r="C43" i="3" s="1"/>
  <c r="S62" i="2"/>
  <c r="T62" i="2" s="1"/>
  <c r="C40" i="3" s="1"/>
  <c r="S60" i="2"/>
  <c r="R60" i="2"/>
  <c r="S56" i="2"/>
  <c r="T56" i="2" s="1"/>
  <c r="C36" i="3" s="1"/>
  <c r="S54" i="2"/>
  <c r="T54" i="2" s="1"/>
  <c r="C34" i="3" s="1"/>
  <c r="S49" i="2"/>
  <c r="T49" i="2" s="1"/>
  <c r="C31" i="3" s="1"/>
  <c r="S48" i="2"/>
  <c r="T48" i="2" s="1"/>
  <c r="C30" i="3" s="1"/>
  <c r="S50" i="2"/>
  <c r="T50" i="2" s="1"/>
  <c r="C32" i="3" s="1"/>
  <c r="D32" i="3" s="1"/>
  <c r="S45" i="2"/>
  <c r="T45" i="2" s="1"/>
  <c r="C29" i="3" s="1"/>
  <c r="S44" i="2"/>
  <c r="T44" i="2" s="1"/>
  <c r="C28" i="3" s="1"/>
  <c r="T43" i="2"/>
  <c r="C27" i="3" s="1"/>
  <c r="S42" i="2"/>
  <c r="T42" i="2" s="1"/>
  <c r="C26" i="3" s="1"/>
  <c r="D26" i="3" s="1"/>
  <c r="R38" i="2"/>
  <c r="S38" i="2"/>
  <c r="T38" i="2" s="1"/>
  <c r="C24" i="3"/>
  <c r="R39" i="2"/>
  <c r="T39" i="2" s="1"/>
  <c r="C25" i="3" s="1"/>
  <c r="R36" i="2"/>
  <c r="T36" i="2" s="1"/>
  <c r="C22" i="3" s="1"/>
  <c r="D22" i="3" s="1"/>
  <c r="R30" i="2"/>
  <c r="S30" i="2"/>
  <c r="T30" i="2" s="1"/>
  <c r="C18" i="3" s="1"/>
  <c r="R32" i="2"/>
  <c r="S33" i="2"/>
  <c r="T33" i="2" s="1"/>
  <c r="C21" i="3" s="1"/>
  <c r="S27" i="2"/>
  <c r="S24" i="2"/>
  <c r="R24" i="2"/>
  <c r="R20" i="2"/>
  <c r="S18" i="2"/>
  <c r="R18" i="2"/>
  <c r="T18" i="2" s="1"/>
  <c r="C10" i="3" s="1"/>
  <c r="R14" i="2"/>
  <c r="R12" i="2"/>
  <c r="T12" i="2" s="1"/>
  <c r="C6" i="3" s="1"/>
  <c r="S6" i="2"/>
  <c r="T6" i="2" s="1"/>
  <c r="C2" i="3" s="1"/>
  <c r="S9" i="2"/>
  <c r="S8" i="2"/>
  <c r="R8" i="2"/>
  <c r="R21" i="2"/>
  <c r="T21" i="2" s="1"/>
  <c r="S19" i="2"/>
  <c r="T19" i="2" s="1"/>
  <c r="C11" i="3" s="1"/>
  <c r="S14" i="2"/>
  <c r="S13" i="2"/>
  <c r="T13" i="2" s="1"/>
  <c r="C7" i="3" s="1"/>
  <c r="D7" i="3" s="1"/>
  <c r="R7" i="2"/>
  <c r="T7" i="2" s="1"/>
  <c r="C3" i="3" s="1"/>
  <c r="T55" i="2"/>
  <c r="C35" i="3" s="1"/>
  <c r="S15" i="2"/>
  <c r="T15" i="2" s="1"/>
  <c r="C9" i="3" s="1"/>
  <c r="T26" i="2"/>
  <c r="C16" i="3" s="1"/>
  <c r="R9" i="2"/>
  <c r="S31" i="2"/>
  <c r="T31" i="2" s="1"/>
  <c r="C19" i="3" s="1"/>
  <c r="T14" i="2"/>
  <c r="C8" i="3" s="1"/>
  <c r="T57" i="2"/>
  <c r="C37" i="3" s="1"/>
  <c r="D37" i="3" s="1"/>
  <c r="D47" i="3" l="1"/>
  <c r="T72" i="2"/>
  <c r="C46" i="3" s="1"/>
  <c r="T74" i="2"/>
  <c r="C48" i="3" s="1"/>
  <c r="D48" i="3" s="1"/>
  <c r="T68" i="2"/>
  <c r="C44" i="3" s="1"/>
  <c r="T66" i="2"/>
  <c r="T60" i="2"/>
  <c r="D30" i="3"/>
  <c r="F32" i="3"/>
  <c r="D31" i="3"/>
  <c r="G32" i="3"/>
  <c r="J32" i="3"/>
  <c r="I32" i="3"/>
  <c r="D33" i="3"/>
  <c r="J26" i="3"/>
  <c r="G26" i="3"/>
  <c r="F26" i="3"/>
  <c r="D27" i="3"/>
  <c r="D28" i="3"/>
  <c r="I26" i="3"/>
  <c r="D29" i="3"/>
  <c r="D24" i="3"/>
  <c r="J22" i="3"/>
  <c r="I22" i="3"/>
  <c r="G22" i="3"/>
  <c r="F22" i="3"/>
  <c r="D25" i="3"/>
  <c r="D23" i="3"/>
  <c r="T32" i="2"/>
  <c r="C20" i="3" s="1"/>
  <c r="D20" i="3" s="1"/>
  <c r="T27" i="2"/>
  <c r="C17" i="3" s="1"/>
  <c r="T24" i="2"/>
  <c r="T20" i="2"/>
  <c r="C12" i="3" s="1"/>
  <c r="T8" i="2"/>
  <c r="T9" i="2"/>
  <c r="C5" i="3" s="1"/>
  <c r="C13" i="3"/>
  <c r="D13" i="3" s="1"/>
  <c r="I13" i="3" s="1"/>
  <c r="D12" i="3"/>
  <c r="D10" i="3"/>
  <c r="D11" i="3"/>
  <c r="D8" i="3"/>
  <c r="D5" i="3"/>
  <c r="D36" i="3"/>
  <c r="D35" i="3"/>
  <c r="D34" i="3"/>
  <c r="F37" i="3"/>
  <c r="G37" i="3"/>
  <c r="J37" i="3"/>
  <c r="I37" i="3"/>
  <c r="G7" i="3"/>
  <c r="I7" i="3"/>
  <c r="J7" i="3"/>
  <c r="F7" i="3"/>
  <c r="D9" i="3"/>
  <c r="D6" i="3"/>
  <c r="J48" i="3" l="1"/>
  <c r="I48" i="3"/>
  <c r="G48" i="3"/>
  <c r="F48" i="3"/>
  <c r="J47" i="3"/>
  <c r="I47" i="3"/>
  <c r="F47" i="3"/>
  <c r="G47" i="3"/>
  <c r="D49" i="3"/>
  <c r="D46" i="3"/>
  <c r="D44" i="3"/>
  <c r="D45" i="3"/>
  <c r="C42" i="3"/>
  <c r="D42" i="3" s="1"/>
  <c r="D43" i="3"/>
  <c r="D40" i="3"/>
  <c r="D41" i="3"/>
  <c r="D39" i="3"/>
  <c r="C38" i="3"/>
  <c r="D38" i="3" s="1"/>
  <c r="G31" i="3"/>
  <c r="I31" i="3"/>
  <c r="F31" i="3"/>
  <c r="J31" i="3"/>
  <c r="J30" i="3"/>
  <c r="I30" i="3"/>
  <c r="G30" i="3"/>
  <c r="F30" i="3"/>
  <c r="J33" i="3"/>
  <c r="I33" i="3"/>
  <c r="G33" i="3"/>
  <c r="F33" i="3"/>
  <c r="J27" i="3"/>
  <c r="I27" i="3"/>
  <c r="F27" i="3"/>
  <c r="G27" i="3"/>
  <c r="J28" i="3"/>
  <c r="I28" i="3"/>
  <c r="G28" i="3"/>
  <c r="F28" i="3"/>
  <c r="F29" i="3"/>
  <c r="I29" i="3"/>
  <c r="J29" i="3"/>
  <c r="G29" i="3"/>
  <c r="F25" i="3"/>
  <c r="I23" i="3"/>
  <c r="J23" i="3"/>
  <c r="G23" i="3"/>
  <c r="F23" i="3"/>
  <c r="J24" i="3"/>
  <c r="I24" i="3"/>
  <c r="G24" i="3"/>
  <c r="F24" i="3"/>
  <c r="I25" i="3"/>
  <c r="J25" i="3"/>
  <c r="G25" i="3"/>
  <c r="D19" i="3"/>
  <c r="D18" i="3"/>
  <c r="D21" i="3"/>
  <c r="J20" i="3"/>
  <c r="I20" i="3"/>
  <c r="G20" i="3"/>
  <c r="F20" i="3"/>
  <c r="D15" i="3"/>
  <c r="D16" i="3"/>
  <c r="D17" i="3"/>
  <c r="C14" i="3"/>
  <c r="D14" i="3" s="1"/>
  <c r="G13" i="3"/>
  <c r="F13" i="3"/>
  <c r="I8" i="3"/>
  <c r="F8" i="3"/>
  <c r="G8" i="3"/>
  <c r="J8" i="3"/>
  <c r="D3" i="3"/>
  <c r="C4" i="3"/>
  <c r="D4" i="3" s="1"/>
  <c r="G5" i="3"/>
  <c r="J5" i="3"/>
  <c r="F5" i="3"/>
  <c r="D2" i="3"/>
  <c r="I5" i="3"/>
  <c r="J12" i="3"/>
  <c r="I12" i="3"/>
  <c r="G12" i="3"/>
  <c r="F12" i="3"/>
  <c r="J13" i="3"/>
  <c r="I11" i="3"/>
  <c r="J11" i="3"/>
  <c r="G11" i="3"/>
  <c r="F11" i="3"/>
  <c r="J10" i="3"/>
  <c r="I10" i="3"/>
  <c r="G10" i="3"/>
  <c r="F10" i="3"/>
  <c r="J9" i="3"/>
  <c r="I9" i="3"/>
  <c r="G9" i="3"/>
  <c r="F9" i="3"/>
  <c r="I19" i="3"/>
  <c r="J19" i="3"/>
  <c r="G19" i="3"/>
  <c r="F19" i="3"/>
  <c r="J18" i="3"/>
  <c r="I18" i="3"/>
  <c r="G18" i="3"/>
  <c r="F18" i="3"/>
  <c r="I21" i="3"/>
  <c r="J21" i="3"/>
  <c r="J34" i="3"/>
  <c r="I34" i="3"/>
  <c r="F34" i="3"/>
  <c r="G34" i="3"/>
  <c r="J35" i="3"/>
  <c r="I35" i="3"/>
  <c r="G35" i="3"/>
  <c r="F35" i="3"/>
  <c r="G6" i="3"/>
  <c r="J6" i="3"/>
  <c r="F6" i="3"/>
  <c r="I6" i="3"/>
  <c r="F36" i="3"/>
  <c r="J36" i="3"/>
  <c r="G36" i="3"/>
  <c r="I36" i="3"/>
  <c r="F49" i="3" l="1"/>
  <c r="G49" i="3"/>
  <c r="I49" i="3"/>
  <c r="J49" i="3"/>
  <c r="F46" i="3"/>
  <c r="J46" i="3"/>
  <c r="I46" i="3"/>
  <c r="G46" i="3"/>
  <c r="F44" i="3"/>
  <c r="I44" i="3"/>
  <c r="G44" i="3"/>
  <c r="J44" i="3"/>
  <c r="F45" i="3"/>
  <c r="G45" i="3"/>
  <c r="I45" i="3"/>
  <c r="J45" i="3"/>
  <c r="J42" i="3"/>
  <c r="I42" i="3"/>
  <c r="F42" i="3"/>
  <c r="G42" i="3"/>
  <c r="F43" i="3"/>
  <c r="G43" i="3"/>
  <c r="I43" i="3"/>
  <c r="J43" i="3"/>
  <c r="G40" i="3"/>
  <c r="F40" i="3"/>
  <c r="I40" i="3"/>
  <c r="J40" i="3"/>
  <c r="I41" i="3"/>
  <c r="F41" i="3"/>
  <c r="G41" i="3"/>
  <c r="J41" i="3"/>
  <c r="G39" i="3"/>
  <c r="I39" i="3"/>
  <c r="F39" i="3"/>
  <c r="J39" i="3"/>
  <c r="F38" i="3"/>
  <c r="G38" i="3"/>
  <c r="I38" i="3"/>
  <c r="J38" i="3"/>
  <c r="G21" i="3"/>
  <c r="F21" i="3"/>
  <c r="I15" i="3"/>
  <c r="J15" i="3"/>
  <c r="G15" i="3"/>
  <c r="F15" i="3"/>
  <c r="J14" i="3"/>
  <c r="I14" i="3"/>
  <c r="G14" i="3"/>
  <c r="F14" i="3"/>
  <c r="J16" i="3"/>
  <c r="I16" i="3"/>
  <c r="G16" i="3"/>
  <c r="F16" i="3"/>
  <c r="F17" i="3"/>
  <c r="G17" i="3"/>
  <c r="J17" i="3"/>
  <c r="I17" i="3"/>
  <c r="F3" i="3"/>
  <c r="G3" i="3"/>
  <c r="I3" i="3"/>
  <c r="J3" i="3"/>
  <c r="G4" i="3"/>
  <c r="F4" i="3"/>
  <c r="J4" i="3"/>
  <c r="I4" i="3"/>
  <c r="F2" i="3"/>
  <c r="I2" i="3"/>
  <c r="G2" i="3"/>
  <c r="J2" i="3"/>
  <c r="M9" i="3" l="1"/>
  <c r="O33" i="3" s="1"/>
  <c r="F21" i="4" s="1"/>
  <c r="G21" i="4" s="1"/>
  <c r="F32" i="4" s="1"/>
  <c r="L6" i="3"/>
  <c r="O6" i="3" s="1"/>
  <c r="B8" i="4" s="1"/>
  <c r="M3" i="3"/>
  <c r="O27" i="3" s="1"/>
  <c r="F18" i="4" s="1"/>
  <c r="M7" i="3"/>
  <c r="O31" i="3" s="1"/>
  <c r="F20" i="4" s="1"/>
  <c r="M5" i="3"/>
  <c r="O29" i="3" s="1"/>
  <c r="F19" i="4" s="1"/>
  <c r="M8" i="3"/>
  <c r="O32" i="3" s="1"/>
  <c r="B21" i="4" s="1"/>
  <c r="M6" i="3"/>
  <c r="O30" i="3" s="1"/>
  <c r="B20" i="4" s="1"/>
  <c r="G20" i="4" s="1"/>
  <c r="B32" i="4" s="1"/>
  <c r="G32" i="4" s="1"/>
  <c r="F40" i="4" s="1"/>
  <c r="M4" i="3"/>
  <c r="O28" i="3" s="1"/>
  <c r="B19" i="4" s="1"/>
  <c r="G19" i="4" s="1"/>
  <c r="F31" i="4" s="1"/>
  <c r="G31" i="4" s="1"/>
  <c r="B40" i="4" s="1"/>
  <c r="G40" i="4" s="1"/>
  <c r="F46" i="4" s="1"/>
  <c r="M2" i="3"/>
  <c r="O26" i="3" s="1"/>
  <c r="B18" i="4" s="1"/>
  <c r="G18" i="4" s="1"/>
  <c r="B31" i="4" s="1"/>
  <c r="L25" i="3"/>
  <c r="O25" i="3" s="1"/>
  <c r="F17" i="4" s="1"/>
  <c r="L23" i="3"/>
  <c r="O23" i="3" s="1"/>
  <c r="F16" i="4" s="1"/>
  <c r="G16" i="4" s="1"/>
  <c r="B30" i="4" s="1"/>
  <c r="G30" i="4" s="1"/>
  <c r="F39" i="4" s="1"/>
  <c r="L21" i="3"/>
  <c r="O21" i="3" s="1"/>
  <c r="F15" i="4" s="1"/>
  <c r="G15" i="4" s="1"/>
  <c r="F29" i="4" s="1"/>
  <c r="L19" i="3"/>
  <c r="O19" i="3" s="1"/>
  <c r="F14" i="4" s="1"/>
  <c r="G14" i="4" s="1"/>
  <c r="B29" i="4" s="1"/>
  <c r="G29" i="4" s="1"/>
  <c r="B39" i="4" s="1"/>
  <c r="G39" i="4" s="1"/>
  <c r="B46" i="4" s="1"/>
  <c r="G46" i="4" s="1"/>
  <c r="L17" i="3"/>
  <c r="O17" i="3" s="1"/>
  <c r="F13" i="4" s="1"/>
  <c r="G13" i="4" s="1"/>
  <c r="F28" i="4" s="1"/>
  <c r="G28" i="4" s="1"/>
  <c r="F38" i="4" s="1"/>
  <c r="L15" i="3"/>
  <c r="O15" i="3" s="1"/>
  <c r="F12" i="4" s="1"/>
  <c r="L11" i="3"/>
  <c r="O11" i="3" s="1"/>
  <c r="F10" i="4" s="1"/>
  <c r="G10" i="4" s="1"/>
  <c r="B27" i="4" s="1"/>
  <c r="G27" i="4" s="1"/>
  <c r="B38" i="4" s="1"/>
  <c r="G38" i="4" s="1"/>
  <c r="F45" i="4" s="1"/>
  <c r="G45" i="4" s="1"/>
  <c r="L3" i="3"/>
  <c r="O3" i="3" s="1"/>
  <c r="F6" i="4" s="1"/>
  <c r="G6" i="4" s="1"/>
  <c r="B25" i="4" s="1"/>
  <c r="G25" i="4" s="1"/>
  <c r="B37" i="4" s="1"/>
  <c r="L9" i="3"/>
  <c r="O9" i="3" s="1"/>
  <c r="F9" i="4" s="1"/>
  <c r="G9" i="4" s="1"/>
  <c r="F26" i="4" s="1"/>
  <c r="L7" i="3"/>
  <c r="O7" i="3" s="1"/>
  <c r="F8" i="4" s="1"/>
  <c r="G8" i="4" s="1"/>
  <c r="B26" i="4" s="1"/>
  <c r="G26" i="4" s="1"/>
  <c r="F37" i="4" s="1"/>
  <c r="G37" i="4" s="1"/>
  <c r="B45" i="4" s="1"/>
  <c r="L5" i="3"/>
  <c r="O5" i="3" s="1"/>
  <c r="F7" i="4" s="1"/>
  <c r="G7" i="4" s="1"/>
  <c r="F25" i="4" s="1"/>
  <c r="L18" i="3"/>
  <c r="O18" i="3" s="1"/>
  <c r="B14" i="4" s="1"/>
  <c r="L8" i="3"/>
  <c r="O8" i="3" s="1"/>
  <c r="B9" i="4" s="1"/>
  <c r="L2" i="3"/>
  <c r="O2" i="3" s="1"/>
  <c r="B6" i="4" s="1"/>
  <c r="L13" i="3"/>
  <c r="O13" i="3" s="1"/>
  <c r="F11" i="4" s="1"/>
  <c r="G11" i="4" s="1"/>
  <c r="F27" i="4" s="1"/>
  <c r="L24" i="3"/>
  <c r="O24" i="3" s="1"/>
  <c r="B17" i="4" s="1"/>
  <c r="G17" i="4" s="1"/>
  <c r="F30" i="4" s="1"/>
  <c r="L22" i="3"/>
  <c r="O22" i="3" s="1"/>
  <c r="B16" i="4" s="1"/>
  <c r="L20" i="3"/>
  <c r="O20" i="3" s="1"/>
  <c r="B15" i="4" s="1"/>
  <c r="L16" i="3"/>
  <c r="O16" i="3" s="1"/>
  <c r="B13" i="4" s="1"/>
  <c r="L4" i="3"/>
  <c r="O4" i="3" s="1"/>
  <c r="B7" i="4" s="1"/>
  <c r="L14" i="3"/>
  <c r="O14" i="3" s="1"/>
  <c r="B12" i="4" s="1"/>
  <c r="G12" i="4" s="1"/>
  <c r="B28" i="4" s="1"/>
  <c r="L12" i="3"/>
  <c r="O12" i="3" s="1"/>
  <c r="B11" i="4" s="1"/>
  <c r="L10" i="3"/>
  <c r="O10" i="3" s="1"/>
  <c r="B10" i="4" s="1"/>
  <c r="B51" i="4" l="1"/>
  <c r="G51" i="4" s="1"/>
  <c r="F62" i="4" s="1"/>
  <c r="B56" i="4"/>
  <c r="G56" i="4" s="1"/>
  <c r="F51" i="4"/>
  <c r="F56" i="4"/>
  <c r="F61" i="4" l="1"/>
  <c r="F60" i="4"/>
</calcChain>
</file>

<file path=xl/sharedStrings.xml><?xml version="1.0" encoding="utf-8"?>
<sst xmlns="http://schemas.openxmlformats.org/spreadsheetml/2006/main" count="508" uniqueCount="187">
  <si>
    <t>FASE FINAL (ELIMINACIÓN DIRECTA)</t>
  </si>
  <si>
    <t>DIECISEISAVOS DE FINAL (Ronda de 32)</t>
  </si>
  <si>
    <t>Partido</t>
  </si>
  <si>
    <t>Equipo A</t>
  </si>
  <si>
    <t>Goles</t>
  </si>
  <si>
    <t>vs</t>
  </si>
  <si>
    <t>Equipo B</t>
  </si>
  <si>
    <t>Clasifica</t>
  </si>
  <si>
    <t>Estado</t>
  </si>
  <si>
    <t>1/16 - P1</t>
  </si>
  <si>
    <t>-</t>
  </si>
  <si>
    <t>1/16 - P2</t>
  </si>
  <si>
    <t>1/16 - P3</t>
  </si>
  <si>
    <t>1/16 - P4</t>
  </si>
  <si>
    <t>1/16 - P5</t>
  </si>
  <si>
    <t>1/16 - P6</t>
  </si>
  <si>
    <t>1/16 - P7</t>
  </si>
  <si>
    <t>1/16 - P8</t>
  </si>
  <si>
    <t>1/16 - P9</t>
  </si>
  <si>
    <t>1/16 - P10</t>
  </si>
  <si>
    <t>1/16 - P11</t>
  </si>
  <si>
    <t>1/16 - P12</t>
  </si>
  <si>
    <t>1/16 - P13</t>
  </si>
  <si>
    <t>1/16 - P14</t>
  </si>
  <si>
    <t>1/16 - P15</t>
  </si>
  <si>
    <t>1/16 - P16</t>
  </si>
  <si>
    <t>OCTAVOS DE FINAL</t>
  </si>
  <si>
    <t>1/8 - P1</t>
  </si>
  <si>
    <t>1/8 - P2</t>
  </si>
  <si>
    <t>1/8 - P3</t>
  </si>
  <si>
    <t>1/8 - P4</t>
  </si>
  <si>
    <t>1/8 - P5</t>
  </si>
  <si>
    <t>1/8 - P6</t>
  </si>
  <si>
    <t>1/8 - P7</t>
  </si>
  <si>
    <t>1/8 - P8</t>
  </si>
  <si>
    <t>CUARTOS DE FINAL</t>
  </si>
  <si>
    <t>1/4 - P1</t>
  </si>
  <si>
    <t>1/4 - P2</t>
  </si>
  <si>
    <t>1/4 - P3</t>
  </si>
  <si>
    <t>1/4 - P4</t>
  </si>
  <si>
    <t>SEMIFINALES</t>
  </si>
  <si>
    <t>Semi - P1</t>
  </si>
  <si>
    <t>Semi - P2</t>
  </si>
  <si>
    <t>PARTIDO POR EL TERCER LUGAR</t>
  </si>
  <si>
    <t>Tercer Lugar</t>
  </si>
  <si>
    <t>GRAN FINAL</t>
  </si>
  <si>
    <t>Gran Final</t>
  </si>
  <si>
    <t>PODIO DE HONOR 🏆</t>
  </si>
  <si>
    <t>CAMPEÓN MUNDIAL 🏆</t>
  </si>
  <si>
    <t>Subcampeón 🥈</t>
  </si>
  <si>
    <t>Tercer Lugar 🥉</t>
  </si>
  <si>
    <t>QUINIELA MUNDIAL DE FÚTBOL 2026 - 100% AUTOMATIZADA</t>
  </si>
  <si>
    <t>CÓMO FUNCIONA:</t>
  </si>
  <si>
    <t>1. Pestaña 'Grupos': Ingresa los resultados. Las tablas se calculan en tiempo real.</t>
  </si>
  <si>
    <t>2. Pestaña 'Eliminatorias': Al ir llenando, verás cómo los nombres se auto-completan gracias a la corrección del motor.</t>
  </si>
  <si>
    <t>3. Puedes empezar a llenar y los líderes de cada grupo aparecerán de inmediato.</t>
  </si>
  <si>
    <t>PARTIDOS DE GRUPOS</t>
  </si>
  <si>
    <t>TABLAS DE POSICIONES (AUTOMÁTICAS)</t>
  </si>
  <si>
    <t>ID</t>
  </si>
  <si>
    <t>Grupo</t>
  </si>
  <si>
    <t>Equipo 1</t>
  </si>
  <si>
    <t>Equipo 2</t>
  </si>
  <si>
    <t>Equipo</t>
  </si>
  <si>
    <t>PJ</t>
  </si>
  <si>
    <t>PG</t>
  </si>
  <si>
    <t>PE</t>
  </si>
  <si>
    <t>PP</t>
  </si>
  <si>
    <t>GF</t>
  </si>
  <si>
    <t>GC</t>
  </si>
  <si>
    <t>DIF</t>
  </si>
  <si>
    <t>PTS</t>
  </si>
  <si>
    <t>SCORE TIEBREAK</t>
  </si>
  <si>
    <t>GRUPO A</t>
  </si>
  <si>
    <t>CLASIFICACIÓN GRUPO A</t>
  </si>
  <si>
    <t>México</t>
  </si>
  <si>
    <t>Sudáfrica</t>
  </si>
  <si>
    <t>A</t>
  </si>
  <si>
    <t>Corea del Sur</t>
  </si>
  <si>
    <t>Chequia</t>
  </si>
  <si>
    <t>CLASIFICACIÓN GRUPO B</t>
  </si>
  <si>
    <t>B</t>
  </si>
  <si>
    <t>Canadá</t>
  </si>
  <si>
    <t>GRUPO B</t>
  </si>
  <si>
    <t>Bosnia y Herze.</t>
  </si>
  <si>
    <t>Qatar</t>
  </si>
  <si>
    <t>Suiza</t>
  </si>
  <si>
    <t>CLASIFICACIÓN GRUPO C</t>
  </si>
  <si>
    <t>C</t>
  </si>
  <si>
    <t>Brasil</t>
  </si>
  <si>
    <t>Marruecos</t>
  </si>
  <si>
    <t>Haití</t>
  </si>
  <si>
    <t>GRUPO C</t>
  </si>
  <si>
    <t>Escocia</t>
  </si>
  <si>
    <t>CLASIFICACIÓN GRUPO D</t>
  </si>
  <si>
    <t>D</t>
  </si>
  <si>
    <t>Estados Unidos</t>
  </si>
  <si>
    <t>Paraguay</t>
  </si>
  <si>
    <t>Australia</t>
  </si>
  <si>
    <t>Turquía</t>
  </si>
  <si>
    <t>GRUPO D</t>
  </si>
  <si>
    <t>CLASIFICACIÓN GRUPO E</t>
  </si>
  <si>
    <t>E</t>
  </si>
  <si>
    <t>Alemania</t>
  </si>
  <si>
    <t>Curaçao</t>
  </si>
  <si>
    <t>Costa de Marfil</t>
  </si>
  <si>
    <t>Ecuador</t>
  </si>
  <si>
    <t>CLASIFICACIÓN GRUPO F</t>
  </si>
  <si>
    <t>F</t>
  </si>
  <si>
    <t>Países Bajos</t>
  </si>
  <si>
    <t>GRUPO E</t>
  </si>
  <si>
    <t>Japón</t>
  </si>
  <si>
    <t>Suecia</t>
  </si>
  <si>
    <t>Túnez</t>
  </si>
  <si>
    <t>CLASIFICACIÓN GRUPO G</t>
  </si>
  <si>
    <t>G</t>
  </si>
  <si>
    <t>Bélgica</t>
  </si>
  <si>
    <t>Egipto</t>
  </si>
  <si>
    <t>Irán</t>
  </si>
  <si>
    <t>GRUPO F</t>
  </si>
  <si>
    <t>Nueva Zelanda</t>
  </si>
  <si>
    <t>CLASIFICACIÓN GRUPO H</t>
  </si>
  <si>
    <t>H</t>
  </si>
  <si>
    <t>España</t>
  </si>
  <si>
    <t>Cabo Verde</t>
  </si>
  <si>
    <t>Arabia Saud.</t>
  </si>
  <si>
    <t>Uruguay</t>
  </si>
  <si>
    <t>GRUPO G</t>
  </si>
  <si>
    <t>CLASIFICACIÓN GRUPO I</t>
  </si>
  <si>
    <t>I</t>
  </si>
  <si>
    <t>Francia</t>
  </si>
  <si>
    <t>Senegal</t>
  </si>
  <si>
    <t>Irak</t>
  </si>
  <si>
    <t>Noruega</t>
  </si>
  <si>
    <t>CLASIFICACIÓN GRUPO J</t>
  </si>
  <si>
    <t>J</t>
  </si>
  <si>
    <t>Argentina</t>
  </si>
  <si>
    <t>GRUPO H</t>
  </si>
  <si>
    <t>Argelia</t>
  </si>
  <si>
    <t>Austria</t>
  </si>
  <si>
    <t>Jordania</t>
  </si>
  <si>
    <t>CLASIFICACIÓN GRUPO K</t>
  </si>
  <si>
    <t>K</t>
  </si>
  <si>
    <t>Portugal</t>
  </si>
  <si>
    <t>RD Congo</t>
  </si>
  <si>
    <t>Uzbekistán</t>
  </si>
  <si>
    <t>GRUPO I</t>
  </si>
  <si>
    <t>Colombia</t>
  </si>
  <si>
    <t>CLASIFICACIÓN GRUPO L</t>
  </si>
  <si>
    <t>L</t>
  </si>
  <si>
    <t>Inglaterra</t>
  </si>
  <si>
    <t>Croacia</t>
  </si>
  <si>
    <t>Ghana</t>
  </si>
  <si>
    <t>Panamá</t>
  </si>
  <si>
    <t>GRUPO J</t>
  </si>
  <si>
    <t>GRUPO K</t>
  </si>
  <si>
    <t>GRUPO L</t>
  </si>
  <si>
    <t>GRUPO</t>
  </si>
  <si>
    <t>EQUIPO</t>
  </si>
  <si>
    <t>SCORE</t>
  </si>
  <si>
    <t>RANK GRUPO</t>
  </si>
  <si>
    <t>PRIMEROS Y SEGUNDOS</t>
  </si>
  <si>
    <t>SCORE GLOBAL</t>
  </si>
  <si>
    <t>TERCEROS</t>
  </si>
  <si>
    <t>SCORE TERCEROS</t>
  </si>
  <si>
    <t>TOP 24 (1ros y 2dos)</t>
  </si>
  <si>
    <t>TOP 8 (Mejores 3ros)</t>
  </si>
  <si>
    <t>CLASIFICADOS OFICIALES (32)</t>
  </si>
  <si>
    <t>Sistema de Puntuación</t>
  </si>
  <si>
    <t>Fase de Grupos:</t>
  </si>
  <si>
    <r>
      <t>3 puntos</t>
    </r>
    <r>
      <rPr>
        <sz val="12"/>
        <color rgb="FF31333F"/>
        <rFont val="Arial"/>
        <family val="2"/>
      </rPr>
      <t> por acertar el marcador exacto de un partido.</t>
    </r>
  </si>
  <si>
    <r>
      <t>1 punto</t>
    </r>
    <r>
      <rPr>
        <sz val="12"/>
        <color rgb="FF31333F"/>
        <rFont val="Arial"/>
        <family val="2"/>
      </rPr>
      <t> por acertar el resultado (ganador o empate) sin atinarle al marcador exacto.</t>
    </r>
  </si>
  <si>
    <t>Fase Eliminatoria:</t>
  </si>
  <si>
    <r>
      <t>5 puntos</t>
    </r>
    <r>
      <rPr>
        <sz val="12"/>
        <color rgb="FF31333F"/>
        <rFont val="Arial"/>
        <family val="2"/>
      </rPr>
      <t> por acertar el marcador exacto (solo si atinaste a los equipos que jugaban).</t>
    </r>
  </si>
  <si>
    <r>
      <t>2 puntos</t>
    </r>
    <r>
      <rPr>
        <sz val="12"/>
        <color rgb="FF31333F"/>
        <rFont val="Arial"/>
        <family val="2"/>
      </rPr>
      <t> por acertar al ganador del partido.</t>
    </r>
  </si>
  <si>
    <r>
      <t>Puntos adicionales por clasificación:</t>
    </r>
    <r>
      <rPr>
        <sz val="12"/>
        <color rgb="FF31333F"/>
        <rFont val="Arial"/>
        <family val="2"/>
      </rPr>
      <t> (Si el equipo que predijiste realmente avanza a esa fase)</t>
    </r>
  </si>
  <si>
    <r>
      <t>Dieciseisavos:</t>
    </r>
    <r>
      <rPr>
        <sz val="12"/>
        <color rgb="FF31333F"/>
        <rFont val="Arial"/>
        <family val="2"/>
      </rPr>
      <t> +2 puntos por equipo</t>
    </r>
  </si>
  <si>
    <r>
      <t>Octavos:</t>
    </r>
    <r>
      <rPr>
        <sz val="12"/>
        <color rgb="FF31333F"/>
        <rFont val="Arial"/>
        <family val="2"/>
      </rPr>
      <t> +4 puntos por equipo</t>
    </r>
  </si>
  <si>
    <r>
      <t>Cuartos:</t>
    </r>
    <r>
      <rPr>
        <sz val="12"/>
        <color rgb="FF31333F"/>
        <rFont val="Arial"/>
        <family val="2"/>
      </rPr>
      <t> +6 puntos por equipo</t>
    </r>
  </si>
  <si>
    <r>
      <t>Semifinales:</t>
    </r>
    <r>
      <rPr>
        <sz val="12"/>
        <color rgb="FF31333F"/>
        <rFont val="Arial"/>
        <family val="2"/>
      </rPr>
      <t> +8 puntos por equipo</t>
    </r>
  </si>
  <si>
    <r>
      <t>Tercer Lugar / Final:</t>
    </r>
    <r>
      <rPr>
        <sz val="12"/>
        <color rgb="FF31333F"/>
        <rFont val="Arial"/>
        <family val="2"/>
      </rPr>
      <t> +10 / +12 puntos por equipo</t>
    </r>
  </si>
  <si>
    <t>Podio (Predicciones Finales):</t>
  </si>
  <si>
    <r>
      <t>15 puntos</t>
    </r>
    <r>
      <rPr>
        <sz val="12"/>
        <color rgb="FF31333F"/>
        <rFont val="Arial"/>
        <family val="2"/>
      </rPr>
      <t> al acertar al Campeón.</t>
    </r>
  </si>
  <si>
    <r>
      <t>10 puntos</t>
    </r>
    <r>
      <rPr>
        <sz val="12"/>
        <color rgb="FF31333F"/>
        <rFont val="Arial"/>
        <family val="2"/>
      </rPr>
      <t> al acertar al Subcampeón.</t>
    </r>
  </si>
  <si>
    <r>
      <t>10 puntos</t>
    </r>
    <r>
      <rPr>
        <sz val="12"/>
        <color rgb="FF31333F"/>
        <rFont val="Arial"/>
        <family val="2"/>
      </rPr>
      <t> al acertar al 3er Lugar.</t>
    </r>
  </si>
  <si>
    <t>Desarrollado por:</t>
  </si>
  <si>
    <t>Salvador Velasco Téllez</t>
  </si>
  <si>
    <t>salvador.velasco@gmail.com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</si>
</sst>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sz val="11"/>
      <name val="Segoe UI"/>
    </font>
    <font>
      <b/>
      <sz val="11"/>
      <color rgb="FFFFFFFF"/>
      <name val="Segoe UI"/>
    </font>
    <font>
      <b/>
      <sz val="13"/>
      <color rgb="FF0F4C43"/>
      <name val="Segoe UI"/>
    </font>
    <font>
      <b/>
      <sz val="13"/>
      <color rgb="FF0F4C43"/>
      <name val="Segoe UI"/>
    </font>
    <font>
      <b/>
      <sz val="11"/>
      <name val="Segoe UI"/>
    </font>
    <font>
      <sz val="12"/>
      <color rgb="FF31333F"/>
      <name val="Arial"/>
      <family val="2"/>
    </font>
    <font>
      <sz val="12"/>
      <color rgb="FF31333F"/>
      <name val="Arial"/>
      <family val="2"/>
    </font>
    <font>
      <i/>
      <sz val="12"/>
      <color rgb="FF31333F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/>
    <xf numFmtId="0" fontId="6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/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vador.velas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6" workbookViewId="0">
      <selection activeCell="G37" sqref="G37"/>
    </sheetView>
  </sheetViews>
  <sheetFormatPr defaultColWidth="9.140625" defaultRowHeight="15" x14ac:dyDescent="0.25"/>
  <cols>
    <col min="7" max="7" width="75.42578125" customWidth="1"/>
  </cols>
  <sheetData>
    <row r="1" spans="1:7" x14ac:dyDescent="0.25">
      <c r="A1" s="10" t="s">
        <v>51</v>
      </c>
      <c r="B1" s="11"/>
      <c r="C1" s="11"/>
      <c r="D1" s="11"/>
      <c r="E1" s="11"/>
      <c r="F1" s="11"/>
      <c r="G1" s="11"/>
    </row>
    <row r="2" spans="1:7" x14ac:dyDescent="0.25">
      <c r="A2" s="11"/>
      <c r="B2" s="11"/>
      <c r="C2" s="11"/>
      <c r="D2" s="11"/>
      <c r="E2" s="11"/>
      <c r="F2" s="11"/>
      <c r="G2" s="11"/>
    </row>
    <row r="4" spans="1:7" ht="16.5" customHeight="1" x14ac:dyDescent="0.3">
      <c r="A4" s="1" t="s">
        <v>52</v>
      </c>
    </row>
    <row r="5" spans="1:7" ht="16.5" customHeight="1" x14ac:dyDescent="0.3">
      <c r="A5" s="1" t="s">
        <v>53</v>
      </c>
    </row>
    <row r="6" spans="1:7" ht="16.5" customHeight="1" x14ac:dyDescent="0.3">
      <c r="A6" s="1" t="s">
        <v>54</v>
      </c>
    </row>
    <row r="7" spans="1:7" ht="16.5" customHeight="1" x14ac:dyDescent="0.3">
      <c r="A7" s="1" t="s">
        <v>55</v>
      </c>
    </row>
    <row r="9" spans="1:7" ht="26.25" x14ac:dyDescent="0.25">
      <c r="A9" s="10" t="s">
        <v>167</v>
      </c>
      <c r="B9" s="11"/>
      <c r="C9" s="11"/>
      <c r="D9" s="11"/>
      <c r="E9" s="11"/>
      <c r="F9" s="11"/>
      <c r="G9" s="11"/>
    </row>
    <row r="10" spans="1:7" x14ac:dyDescent="0.25">
      <c r="A10" s="16"/>
    </row>
    <row r="11" spans="1:7" x14ac:dyDescent="0.25">
      <c r="A11" s="17" t="s">
        <v>168</v>
      </c>
    </row>
    <row r="12" spans="1:7" x14ac:dyDescent="0.25">
      <c r="A12" s="7"/>
    </row>
    <row r="13" spans="1:7" x14ac:dyDescent="0.25">
      <c r="A13" s="17" t="s">
        <v>169</v>
      </c>
    </row>
    <row r="14" spans="1:7" x14ac:dyDescent="0.25">
      <c r="A14" s="17" t="s">
        <v>170</v>
      </c>
    </row>
    <row r="15" spans="1:7" x14ac:dyDescent="0.25">
      <c r="A15" s="16"/>
    </row>
    <row r="16" spans="1:7" x14ac:dyDescent="0.25">
      <c r="A16" s="17" t="s">
        <v>171</v>
      </c>
    </row>
    <row r="17" spans="1:1" x14ac:dyDescent="0.25">
      <c r="A17" s="7"/>
    </row>
    <row r="18" spans="1:1" x14ac:dyDescent="0.25">
      <c r="A18" s="17" t="s">
        <v>172</v>
      </c>
    </row>
    <row r="19" spans="1:1" x14ac:dyDescent="0.25">
      <c r="A19" s="17" t="s">
        <v>173</v>
      </c>
    </row>
    <row r="20" spans="1:1" x14ac:dyDescent="0.25">
      <c r="A20" s="17" t="s">
        <v>174</v>
      </c>
    </row>
    <row r="21" spans="1:1" x14ac:dyDescent="0.25">
      <c r="A21" s="18" t="s">
        <v>175</v>
      </c>
    </row>
    <row r="22" spans="1:1" x14ac:dyDescent="0.25">
      <c r="A22" s="18" t="s">
        <v>176</v>
      </c>
    </row>
    <row r="23" spans="1:1" x14ac:dyDescent="0.25">
      <c r="A23" s="18" t="s">
        <v>177</v>
      </c>
    </row>
    <row r="24" spans="1:1" x14ac:dyDescent="0.25">
      <c r="A24" s="18" t="s">
        <v>178</v>
      </c>
    </row>
    <row r="25" spans="1:1" x14ac:dyDescent="0.25">
      <c r="A25" s="18" t="s">
        <v>179</v>
      </c>
    </row>
    <row r="26" spans="1:1" x14ac:dyDescent="0.25">
      <c r="A26" s="16"/>
    </row>
    <row r="27" spans="1:1" x14ac:dyDescent="0.25">
      <c r="A27" s="17" t="s">
        <v>180</v>
      </c>
    </row>
    <row r="28" spans="1:1" x14ac:dyDescent="0.25">
      <c r="A28" s="7"/>
    </row>
    <row r="29" spans="1:1" x14ac:dyDescent="0.25">
      <c r="A29" s="17" t="s">
        <v>181</v>
      </c>
    </row>
    <row r="30" spans="1:1" x14ac:dyDescent="0.25">
      <c r="A30" s="17" t="s">
        <v>182</v>
      </c>
    </row>
    <row r="31" spans="1:1" x14ac:dyDescent="0.25">
      <c r="A31" s="17" t="s">
        <v>183</v>
      </c>
    </row>
    <row r="34" spans="7:7" x14ac:dyDescent="0.25">
      <c r="G34" t="s">
        <v>184</v>
      </c>
    </row>
    <row r="35" spans="7:7" x14ac:dyDescent="0.25">
      <c r="G35" t="s">
        <v>185</v>
      </c>
    </row>
    <row r="36" spans="7:7" x14ac:dyDescent="0.25">
      <c r="G36" s="19" t="s">
        <v>186</v>
      </c>
    </row>
  </sheetData>
  <mergeCells count="2">
    <mergeCell ref="A1:G2"/>
    <mergeCell ref="A9:G9"/>
  </mergeCells>
  <hyperlinks>
    <hyperlink ref="G36" r:id="rId1" xr:uid="{9AEA9D59-9B16-4EC9-A2D1-BB528D4A263F}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"/>
  <sheetViews>
    <sheetView topLeftCell="A77" workbookViewId="0">
      <selection activeCell="F94" sqref="F94:F99"/>
    </sheetView>
  </sheetViews>
  <sheetFormatPr defaultColWidth="9.140625" defaultRowHeight="15" x14ac:dyDescent="0.25"/>
  <cols>
    <col min="1" max="1" width="8" customWidth="1"/>
    <col min="3" max="3" width="16" customWidth="1"/>
    <col min="7" max="7" width="16" customWidth="1"/>
    <col min="11" max="11" width="16" customWidth="1"/>
  </cols>
  <sheetData>
    <row r="1" spans="1:20" x14ac:dyDescent="0.25">
      <c r="A1" s="10" t="s">
        <v>56</v>
      </c>
      <c r="B1" s="11"/>
      <c r="C1" s="11"/>
      <c r="D1" s="11"/>
      <c r="E1" s="11"/>
      <c r="F1" s="11"/>
      <c r="G1" s="11"/>
      <c r="H1" s="11"/>
      <c r="J1" s="13" t="s">
        <v>57</v>
      </c>
      <c r="K1" s="11"/>
      <c r="L1" s="11"/>
      <c r="M1" s="11"/>
      <c r="N1" s="11"/>
      <c r="O1" s="11"/>
      <c r="P1" s="11"/>
      <c r="Q1" s="11"/>
      <c r="R1" s="11"/>
      <c r="S1" s="11"/>
    </row>
    <row r="2" spans="1:20" x14ac:dyDescent="0.25">
      <c r="A2" s="11"/>
      <c r="B2" s="11"/>
      <c r="C2" s="11"/>
      <c r="D2" s="11"/>
      <c r="E2" s="11"/>
      <c r="F2" s="11"/>
      <c r="G2" s="11"/>
      <c r="H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spans="1:20" ht="16.5" customHeight="1" x14ac:dyDescent="0.25">
      <c r="A4" s="2" t="s">
        <v>58</v>
      </c>
      <c r="B4" s="2" t="s">
        <v>59</v>
      </c>
      <c r="C4" s="2" t="s">
        <v>60</v>
      </c>
      <c r="D4" s="2" t="s">
        <v>4</v>
      </c>
      <c r="E4" s="2" t="s">
        <v>5</v>
      </c>
      <c r="F4" s="2" t="s">
        <v>4</v>
      </c>
      <c r="G4" s="2" t="s">
        <v>61</v>
      </c>
      <c r="H4" s="2" t="s">
        <v>8</v>
      </c>
      <c r="J4" s="3" t="s">
        <v>59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s">
        <v>71</v>
      </c>
    </row>
    <row r="5" spans="1:20" ht="18.75" customHeight="1" x14ac:dyDescent="0.35">
      <c r="A5" s="12" t="s">
        <v>72</v>
      </c>
      <c r="B5" s="11"/>
      <c r="C5" s="11"/>
      <c r="D5" s="11"/>
      <c r="E5" s="11"/>
      <c r="F5" s="11"/>
      <c r="G5" s="11"/>
      <c r="H5" s="11"/>
      <c r="J5" s="12" t="s">
        <v>73</v>
      </c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25">
      <c r="C6" s="4" t="s">
        <v>74</v>
      </c>
      <c r="D6" s="5"/>
      <c r="E6" s="6" t="s">
        <v>10</v>
      </c>
      <c r="F6" s="5"/>
      <c r="G6" s="7" t="s">
        <v>75</v>
      </c>
      <c r="H6" t="str">
        <f t="shared" ref="H6:H11" si="0">IF(AND(ISNUMBER(D6),ISNUMBER(F6)),"Ok","")</f>
        <v/>
      </c>
      <c r="J6" t="s">
        <v>76</v>
      </c>
      <c r="K6" t="s">
        <v>74</v>
      </c>
      <c r="L6">
        <f>IF(ISNUMBER(D6),1,0)+IF(ISNUMBER(D8),1,0)+IF(ISNUMBER(F10),1,0)</f>
        <v>0</v>
      </c>
      <c r="M6">
        <f>IF(AND(ISNUMBER(D6),ISNUMBER(F6),D6&gt;F6),1,0)+IF(AND(ISNUMBER(D8),ISNUMBER(F8),D8&gt;F8),1,0)+IF(AND(ISNUMBER(F10),ISNUMBER(D10),F10&gt;D10),1,0)</f>
        <v>0</v>
      </c>
      <c r="N6">
        <f>IF(AND(ISNUMBER(D6),ISNUMBER(F6),D6=F6),1,0)+IF(AND(ISNUMBER(D8),ISNUMBER(F8),D8=F8),1,0)+IF(AND(ISNUMBER(F10),ISNUMBER(D10),F10=D10),1,0)</f>
        <v>0</v>
      </c>
      <c r="O6">
        <f>IF(AND(ISNUMBER(D6),ISNUMBER(F6),D6&lt;F6),1,0)+IF(AND(ISNUMBER(D8),ISNUMBER(F8),D8&lt;F8),1,0)+IF(AND(ISNUMBER(F10),ISNUMBER(D10),F10&lt;D10),1,0)</f>
        <v>0</v>
      </c>
      <c r="P6">
        <f>IF(ISNUMBER(D6),D6,0)+IF(ISNUMBER(D8),D8,0)+IF(ISNUMBER(F10),F10,0)</f>
        <v>0</v>
      </c>
      <c r="Q6">
        <f>IF(ISNUMBER(F6),F6,0)+IF(ISNUMBER(F8),F8,0)+IF(ISNUMBER(D10),D10,0)</f>
        <v>0</v>
      </c>
      <c r="R6">
        <f>P6-Q6</f>
        <v>0</v>
      </c>
      <c r="S6">
        <f>M6*3+N6</f>
        <v>0</v>
      </c>
      <c r="T6">
        <f>S6*1000000 + (R6+100)*1000 + P6 + (ROW()/10000)</f>
        <v>100000.0006</v>
      </c>
    </row>
    <row r="7" spans="1:20" x14ac:dyDescent="0.25">
      <c r="C7" s="4" t="s">
        <v>77</v>
      </c>
      <c r="D7" s="5"/>
      <c r="E7" s="6" t="s">
        <v>10</v>
      </c>
      <c r="F7" s="5"/>
      <c r="G7" s="7" t="s">
        <v>78</v>
      </c>
      <c r="H7" t="str">
        <f t="shared" si="0"/>
        <v/>
      </c>
      <c r="J7" t="s">
        <v>76</v>
      </c>
      <c r="K7" t="s">
        <v>75</v>
      </c>
      <c r="L7">
        <f>IF(ISNUMBER(F6),1,0)+IF(ISNUMBER(D9),1,0)+IF(ISNUMBER(D11),1,0)</f>
        <v>0</v>
      </c>
      <c r="M7">
        <f>IF(AND(ISNUMBER(F6),ISNUMBER(D6),F6&gt;D6),1,0)+IF(AND(ISNUMBER(D9),ISNUMBER(F9),D9&gt;F9),1,0)+IF(AND(ISNUMBER(D11),ISNUMBER(F11),D11&gt;F11),1,0)</f>
        <v>0</v>
      </c>
      <c r="N7">
        <f>IF(AND(ISNUMBER(F6),ISNUMBER(D6),F6=D6),1,0)+IF(AND(ISNUMBER(D9),ISNUMBER(F9),D9=F9),1,0)+IF(AND(ISNUMBER(D11),ISNUMBER(F11),D11=F11),1,0)</f>
        <v>0</v>
      </c>
      <c r="O7">
        <f>IF(AND(ISNUMBER(F6),ISNUMBER(D6),F6&lt;D6),1,0)+IF(AND(ISNUMBER(D9),ISNUMBER(F9),D9&lt;F9),1,0)+IF(AND(ISNUMBER(D11),ISNUMBER(F11),D11&lt;F11),1,0)</f>
        <v>0</v>
      </c>
      <c r="P7">
        <f>IF(ISNUMBER(F6),F6,0)+IF(ISNUMBER(D9),D9,0)+IF(ISNUMBER(D11),D11,0)</f>
        <v>0</v>
      </c>
      <c r="Q7">
        <f>IF(ISNUMBER(D6),D6,0)+IF(ISNUMBER(F9),F9,0)+IF(ISNUMBER(F11),F11,0)</f>
        <v>0</v>
      </c>
      <c r="R7">
        <f>P7-Q7</f>
        <v>0</v>
      </c>
      <c r="S7">
        <f>M7*3+N7</f>
        <v>0</v>
      </c>
      <c r="T7">
        <f>S7*1000000 + (R7+100)*1000 + P7 + (ROW()/10000)</f>
        <v>100000.0007</v>
      </c>
    </row>
    <row r="8" spans="1:20" x14ac:dyDescent="0.25">
      <c r="C8" s="4" t="s">
        <v>74</v>
      </c>
      <c r="D8" s="5"/>
      <c r="E8" s="6" t="s">
        <v>10</v>
      </c>
      <c r="F8" s="5"/>
      <c r="G8" s="7" t="s">
        <v>77</v>
      </c>
      <c r="H8" t="str">
        <f t="shared" si="0"/>
        <v/>
      </c>
      <c r="J8" t="s">
        <v>76</v>
      </c>
      <c r="K8" t="s">
        <v>77</v>
      </c>
      <c r="L8">
        <f>IF(ISNUMBER(D7),1,0)+IF(ISNUMBER(F8),1,0)+IF(ISNUMBER(F11),1,0)</f>
        <v>0</v>
      </c>
      <c r="M8">
        <f>IF(AND(ISNUMBER(D7),ISNUMBER(F7),D7&gt;F7),1,0)+IF(AND(ISNUMBER(F8),ISNUMBER(D8),F8&gt;D8),1,0)+IF(AND(ISNUMBER(F11),ISNUMBER(D11),F11&gt;D11),1,0)</f>
        <v>0</v>
      </c>
      <c r="N8">
        <f>IF(AND(ISNUMBER(D7),ISNUMBER(F7),D7=F7),1,0)+IF(AND(ISNUMBER(F8),ISNUMBER(D8),F8=D8),1,0)+IF(AND(ISNUMBER(F11),ISNUMBER(D11),F11=D11),1,0)</f>
        <v>0</v>
      </c>
      <c r="O8">
        <f>IF(AND(ISNUMBER(D7),ISNUMBER(F7),D7&lt;F7),1,0)+IF(AND(ISNUMBER(F8),ISNUMBER(D8),F8&lt;D8),1,0)+IF(AND(ISNUMBER(F11),ISNUMBER(D11),F11&lt;D11),1,0)</f>
        <v>0</v>
      </c>
      <c r="P8">
        <f>IF(ISNUMBER(D7),D7,0)+IF(ISNUMBER(F8),F8,0)+IF(ISNUMBER(F11),F11,0)</f>
        <v>0</v>
      </c>
      <c r="Q8">
        <f>IF(ISNUMBER(F7),F7,0)+IF(ISNUMBER(D8),D8,0)+IF(ISNUMBER(D11),D11,0)</f>
        <v>0</v>
      </c>
      <c r="R8">
        <f>P8-Q8</f>
        <v>0</v>
      </c>
      <c r="S8">
        <f>M8*3+N8</f>
        <v>0</v>
      </c>
      <c r="T8">
        <f>S8*1000000 + (R8+100)*1000 + P8 + (ROW()/10000)</f>
        <v>100000.00079999999</v>
      </c>
    </row>
    <row r="9" spans="1:20" x14ac:dyDescent="0.25">
      <c r="C9" s="4" t="s">
        <v>75</v>
      </c>
      <c r="D9" s="5"/>
      <c r="E9" s="6" t="s">
        <v>10</v>
      </c>
      <c r="F9" s="5"/>
      <c r="G9" s="7" t="s">
        <v>78</v>
      </c>
      <c r="H9" t="str">
        <f t="shared" si="0"/>
        <v/>
      </c>
      <c r="J9" t="s">
        <v>76</v>
      </c>
      <c r="K9" t="s">
        <v>78</v>
      </c>
      <c r="L9">
        <f>IF(ISNUMBER(F7),1,0)+IF(ISNUMBER(F9),1,0)+IF(ISNUMBER(D10),1,0)</f>
        <v>0</v>
      </c>
      <c r="M9">
        <f>IF(AND(ISNUMBER(F7),ISNUMBER(D7),F7&gt;D7),1,0)+IF(AND(ISNUMBER(F9),ISNUMBER(D9),F9&gt;D9),1,0)+IF(AND(ISNUMBER(D10),ISNUMBER(F10),D10&gt;F10),1,0)</f>
        <v>0</v>
      </c>
      <c r="N9">
        <f>IF(AND(ISNUMBER(F7),ISNUMBER(D7),F7=D7),1,0)+IF(AND(ISNUMBER(F9),ISNUMBER(D9),F9=D9),1,0)+IF(AND(ISNUMBER(D10),ISNUMBER(F10),D10=F10),1,0)</f>
        <v>0</v>
      </c>
      <c r="O9">
        <f>IF(AND(ISNUMBER(F7),ISNUMBER(D7),F7&lt;D7),1,0)+IF(AND(ISNUMBER(F9),ISNUMBER(D9),F9&lt;D9),1,0)+IF(AND(ISNUMBER(D10),ISNUMBER(F10),D10&lt;F10),1,0)</f>
        <v>0</v>
      </c>
      <c r="P9">
        <f>IF(ISNUMBER(F7),F7,0)+IF(ISNUMBER(F9),F9,0)+IF(ISNUMBER(D10),D10,0)</f>
        <v>0</v>
      </c>
      <c r="Q9">
        <f>IF(ISNUMBER(D7),D7,0)+IF(ISNUMBER(D9),D9,0)+IF(ISNUMBER(F10),F10,0)</f>
        <v>0</v>
      </c>
      <c r="R9">
        <f>P9-Q9</f>
        <v>0</v>
      </c>
      <c r="S9">
        <f>M9*3+N9</f>
        <v>0</v>
      </c>
      <c r="T9">
        <f>S9*1000000 + (R9+100)*1000 + P9 + (ROW()/10000)</f>
        <v>100000.0009</v>
      </c>
    </row>
    <row r="10" spans="1:20" x14ac:dyDescent="0.25">
      <c r="C10" s="4" t="s">
        <v>78</v>
      </c>
      <c r="D10" s="5"/>
      <c r="E10" s="6" t="s">
        <v>10</v>
      </c>
      <c r="F10" s="5"/>
      <c r="G10" s="7" t="s">
        <v>74</v>
      </c>
      <c r="H10" t="str">
        <f t="shared" si="0"/>
        <v/>
      </c>
    </row>
    <row r="11" spans="1:20" ht="18.75" customHeight="1" x14ac:dyDescent="0.35">
      <c r="C11" s="4" t="s">
        <v>75</v>
      </c>
      <c r="D11" s="5"/>
      <c r="E11" s="6" t="s">
        <v>10</v>
      </c>
      <c r="F11" s="5"/>
      <c r="G11" s="7" t="s">
        <v>77</v>
      </c>
      <c r="H11" t="str">
        <f t="shared" si="0"/>
        <v/>
      </c>
      <c r="J11" s="12" t="s">
        <v>79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5">
      <c r="J12" t="s">
        <v>80</v>
      </c>
      <c r="K12" t="s">
        <v>81</v>
      </c>
      <c r="L12">
        <f>IF(ISNUMBER(D14),1,0)+IF(ISNUMBER(D16),1,0)+IF(ISNUMBER(F18),1,0)</f>
        <v>0</v>
      </c>
      <c r="M12">
        <f>IF(AND(ISNUMBER(D14),ISNUMBER(F14),D14&gt;F14),1,0)+IF(AND(ISNUMBER(D16),ISNUMBER(F16),D16&gt;F16),1,0)+IF(AND(ISNUMBER(F18),ISNUMBER(D18),F18&gt;D18),1,0)</f>
        <v>0</v>
      </c>
      <c r="N12">
        <f>IF(AND(ISNUMBER(D14),ISNUMBER(F14),D14=F14),1,0)+IF(AND(ISNUMBER(D16),ISNUMBER(F16),D16=F16),1,0)+IF(AND(ISNUMBER(F18),ISNUMBER(D18),F18=D18),1,0)</f>
        <v>0</v>
      </c>
      <c r="O12">
        <f>IF(AND(ISNUMBER(D14),ISNUMBER(F14),D14&lt;F14),1,0)+IF(AND(ISNUMBER(D16),ISNUMBER(F16),D16&lt;F16),1,0)+IF(AND(ISNUMBER(F18),ISNUMBER(D18),F18&lt;D18),1,0)</f>
        <v>0</v>
      </c>
      <c r="P12">
        <f>IF(ISNUMBER(D14),D14,0)+IF(ISNUMBER(D16),D16,0)+IF(ISNUMBER(F18),F18,0)</f>
        <v>0</v>
      </c>
      <c r="Q12">
        <f>IF(ISNUMBER(F14),F14,0)+IF(ISNUMBER(F16),F16,0)+IF(ISNUMBER(D18),D18,0)</f>
        <v>0</v>
      </c>
      <c r="R12">
        <f>P12-Q12</f>
        <v>0</v>
      </c>
      <c r="S12">
        <f>M12*3+N12</f>
        <v>0</v>
      </c>
      <c r="T12">
        <f>S12*1000000 + (R12+100)*1000 + P12 + (ROW()/10000)</f>
        <v>100000.0012</v>
      </c>
    </row>
    <row r="13" spans="1:20" ht="18.75" customHeight="1" x14ac:dyDescent="0.35">
      <c r="A13" s="12" t="s">
        <v>82</v>
      </c>
      <c r="B13" s="11"/>
      <c r="C13" s="11"/>
      <c r="D13" s="11"/>
      <c r="E13" s="11"/>
      <c r="F13" s="11"/>
      <c r="G13" s="11"/>
      <c r="H13" s="11"/>
      <c r="J13" t="s">
        <v>80</v>
      </c>
      <c r="K13" t="s">
        <v>83</v>
      </c>
      <c r="L13">
        <f>IF(ISNUMBER(F14),1,0)+IF(ISNUMBER(D17),1,0)+IF(ISNUMBER(D19),1,0)</f>
        <v>0</v>
      </c>
      <c r="M13">
        <f>IF(AND(ISNUMBER(F14),ISNUMBER(D14),F14&gt;D14),1,0)+IF(AND(ISNUMBER(D17),ISNUMBER(F17),D17&gt;F17),1,0)+IF(AND(ISNUMBER(D19),ISNUMBER(F19),D19&gt;F19),1,0)</f>
        <v>0</v>
      </c>
      <c r="N13">
        <f>IF(AND(ISNUMBER(F14),ISNUMBER(D14),F14=D14),1,0)+IF(AND(ISNUMBER(D17),ISNUMBER(F17),D17=F17),1,0)+IF(AND(ISNUMBER(D19),ISNUMBER(F19),D19=F19),1,0)</f>
        <v>0</v>
      </c>
      <c r="O13">
        <f>IF(AND(ISNUMBER(F14),ISNUMBER(D14),F14&lt;D14),1,0)+IF(AND(ISNUMBER(D17),ISNUMBER(F17),D17&lt;F17),1,0)+IF(AND(ISNUMBER(D19),ISNUMBER(F19),D19&lt;F19),1,0)</f>
        <v>0</v>
      </c>
      <c r="P13">
        <f>IF(ISNUMBER(F14),F14,0)+IF(ISNUMBER(D17),D17,0)+IF(ISNUMBER(D19),D19,0)</f>
        <v>0</v>
      </c>
      <c r="Q13">
        <f>IF(ISNUMBER(D14),D14,0)+IF(ISNUMBER(F17),F17,0)+IF(ISNUMBER(F19),F19,0)</f>
        <v>0</v>
      </c>
      <c r="R13">
        <f>P13-Q13</f>
        <v>0</v>
      </c>
      <c r="S13">
        <f>M13*3+N13</f>
        <v>0</v>
      </c>
      <c r="T13">
        <f>S13*1000000 + (R13+100)*1000 + P13 + (ROW()/10000)</f>
        <v>100000.0013</v>
      </c>
    </row>
    <row r="14" spans="1:20" x14ac:dyDescent="0.25">
      <c r="C14" s="4" t="s">
        <v>81</v>
      </c>
      <c r="D14" s="5"/>
      <c r="E14" s="6" t="s">
        <v>10</v>
      </c>
      <c r="F14" s="5"/>
      <c r="G14" s="7" t="s">
        <v>83</v>
      </c>
      <c r="H14" t="str">
        <f t="shared" ref="H14:H19" si="1">IF(AND(ISNUMBER(D14),ISNUMBER(F14)),"Ok","")</f>
        <v/>
      </c>
      <c r="J14" t="s">
        <v>80</v>
      </c>
      <c r="K14" t="s">
        <v>84</v>
      </c>
      <c r="L14">
        <f>IF(ISNUMBER(D15),1,0)+IF(ISNUMBER(F16),1,0)+IF(ISNUMBER(F19),1,0)</f>
        <v>0</v>
      </c>
      <c r="M14">
        <f>IF(AND(ISNUMBER(D15),ISNUMBER(F15),D15&gt;F15),1,0)+IF(AND(ISNUMBER(F16),ISNUMBER(D16),F16&gt;D16),1,0)+IF(AND(ISNUMBER(F19),ISNUMBER(D19),F19&gt;D19),1,0)</f>
        <v>0</v>
      </c>
      <c r="N14">
        <f>IF(AND(ISNUMBER(D15),ISNUMBER(F15),D15=F15),1,0)+IF(AND(ISNUMBER(F16),ISNUMBER(D16),F16=D16),1,0)+IF(AND(ISNUMBER(F19),ISNUMBER(D19),F19=D19),1,0)</f>
        <v>0</v>
      </c>
      <c r="O14">
        <f>IF(AND(ISNUMBER(D15),ISNUMBER(F15),D15&lt;F15),1,0)+IF(AND(ISNUMBER(F16),ISNUMBER(D16),F16&lt;D16),1,0)+IF(AND(ISNUMBER(F19),ISNUMBER(D19),F19&lt;D19),1,0)</f>
        <v>0</v>
      </c>
      <c r="P14">
        <f>IF(ISNUMBER(D15),D15,0)+IF(ISNUMBER(F16),F16,0)+IF(ISNUMBER(F19),F19,0)</f>
        <v>0</v>
      </c>
      <c r="Q14">
        <f>IF(ISNUMBER(F15),F15,0)+IF(ISNUMBER(D16),D16,0)+IF(ISNUMBER(D19),D19,0)</f>
        <v>0</v>
      </c>
      <c r="R14">
        <f>P14-Q14</f>
        <v>0</v>
      </c>
      <c r="S14">
        <f>M14*3+N14</f>
        <v>0</v>
      </c>
      <c r="T14">
        <f>S14*1000000 + (R14+100)*1000 + P14 + (ROW()/10000)</f>
        <v>100000.00139999999</v>
      </c>
    </row>
    <row r="15" spans="1:20" x14ac:dyDescent="0.25">
      <c r="C15" s="4" t="s">
        <v>84</v>
      </c>
      <c r="D15" s="5"/>
      <c r="E15" s="6" t="s">
        <v>10</v>
      </c>
      <c r="F15" s="5"/>
      <c r="G15" s="7" t="s">
        <v>85</v>
      </c>
      <c r="H15" t="str">
        <f t="shared" si="1"/>
        <v/>
      </c>
      <c r="J15" t="s">
        <v>80</v>
      </c>
      <c r="K15" t="s">
        <v>85</v>
      </c>
      <c r="L15">
        <f>IF(ISNUMBER(F15),1,0)+IF(ISNUMBER(F17),1,0)+IF(ISNUMBER(D18),1,0)</f>
        <v>0</v>
      </c>
      <c r="M15">
        <f>IF(AND(ISNUMBER(F15),ISNUMBER(D15),F15&gt;D15),1,0)+IF(AND(ISNUMBER(F17),ISNUMBER(D17),F17&gt;D17),1,0)+IF(AND(ISNUMBER(D18),ISNUMBER(F18),D18&gt;F18),1,0)</f>
        <v>0</v>
      </c>
      <c r="N15">
        <f>IF(AND(ISNUMBER(F15),ISNUMBER(D15),F15=D15),1,0)+IF(AND(ISNUMBER(F17),ISNUMBER(D17),F17=D17),1,0)+IF(AND(ISNUMBER(D18),ISNUMBER(F18),D18=F18),1,0)</f>
        <v>0</v>
      </c>
      <c r="O15">
        <f>IF(AND(ISNUMBER(F15),ISNUMBER(D15),F15&lt;D15),1,0)+IF(AND(ISNUMBER(F17),ISNUMBER(D17),F17&lt;D17),1,0)+IF(AND(ISNUMBER(D18),ISNUMBER(F18),D18&lt;F18),1,0)</f>
        <v>0</v>
      </c>
      <c r="P15">
        <f>IF(ISNUMBER(F15),F15,0)+IF(ISNUMBER(F17),F17,0)+IF(ISNUMBER(D18),D18,0)</f>
        <v>0</v>
      </c>
      <c r="Q15">
        <f>IF(ISNUMBER(D15),D15,0)+IF(ISNUMBER(D17),D17,0)+IF(ISNUMBER(F18),F18,0)</f>
        <v>0</v>
      </c>
      <c r="R15">
        <f>P15-Q15</f>
        <v>0</v>
      </c>
      <c r="S15">
        <f>M15*3+N15</f>
        <v>0</v>
      </c>
      <c r="T15">
        <f>S15*1000000 + (R15+100)*1000 + P15 + (ROW()/10000)</f>
        <v>100000.0015</v>
      </c>
    </row>
    <row r="16" spans="1:20" x14ac:dyDescent="0.25">
      <c r="C16" s="4" t="s">
        <v>81</v>
      </c>
      <c r="D16" s="5"/>
      <c r="E16" s="6" t="s">
        <v>10</v>
      </c>
      <c r="F16" s="5"/>
      <c r="G16" s="7" t="s">
        <v>84</v>
      </c>
      <c r="H16" t="str">
        <f t="shared" si="1"/>
        <v/>
      </c>
    </row>
    <row r="17" spans="1:20" ht="18.75" customHeight="1" x14ac:dyDescent="0.35">
      <c r="C17" s="4" t="s">
        <v>83</v>
      </c>
      <c r="D17" s="5"/>
      <c r="E17" s="6" t="s">
        <v>10</v>
      </c>
      <c r="F17" s="5"/>
      <c r="G17" s="7" t="s">
        <v>85</v>
      </c>
      <c r="H17" t="str">
        <f t="shared" si="1"/>
        <v/>
      </c>
      <c r="J17" s="12" t="s">
        <v>86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5">
      <c r="C18" s="4" t="s">
        <v>85</v>
      </c>
      <c r="D18" s="5"/>
      <c r="E18" s="6" t="s">
        <v>10</v>
      </c>
      <c r="F18" s="5"/>
      <c r="G18" s="7" t="s">
        <v>81</v>
      </c>
      <c r="H18" t="str">
        <f t="shared" si="1"/>
        <v/>
      </c>
      <c r="J18" t="s">
        <v>87</v>
      </c>
      <c r="K18" t="s">
        <v>88</v>
      </c>
      <c r="L18">
        <f>IF(ISNUMBER(D22),1,0)+IF(ISNUMBER(D24),1,0)+IF(ISNUMBER(F26),1,0)</f>
        <v>0</v>
      </c>
      <c r="M18">
        <f>IF(AND(ISNUMBER(D22),ISNUMBER(F22),D22&gt;F22),1,0)+IF(AND(ISNUMBER(D24),ISNUMBER(F24),D24&gt;F24),1,0)+IF(AND(ISNUMBER(F26),ISNUMBER(D26),F26&gt;D26),1,0)</f>
        <v>0</v>
      </c>
      <c r="N18">
        <f>IF(AND(ISNUMBER(D22),ISNUMBER(F22),D22=F22),1,0)+IF(AND(ISNUMBER(D24),ISNUMBER(F24),D24=F24),1,0)+IF(AND(ISNUMBER(F26),ISNUMBER(D26),F26=D26),1,0)</f>
        <v>0</v>
      </c>
      <c r="O18">
        <f>IF(AND(ISNUMBER(D22),ISNUMBER(F22),D22&lt;F22),1,0)+IF(AND(ISNUMBER(D24),ISNUMBER(F24),D24&lt;F24),1,0)+IF(AND(ISNUMBER(F26),ISNUMBER(D26),F26&lt;D26),1,0)</f>
        <v>0</v>
      </c>
      <c r="P18">
        <f>IF(ISNUMBER(D22),D22,0)+IF(ISNUMBER(D24),D24,0)+IF(ISNUMBER(F26),F26,0)</f>
        <v>0</v>
      </c>
      <c r="Q18">
        <f>IF(ISNUMBER(F22),F22,0)+IF(ISNUMBER(F24),F24,0)+IF(ISNUMBER(D26),D26,0)</f>
        <v>0</v>
      </c>
      <c r="R18">
        <f>P18-Q18</f>
        <v>0</v>
      </c>
      <c r="S18">
        <f>M18*3+N18</f>
        <v>0</v>
      </c>
      <c r="T18">
        <f>S18*1000000 + (R18+100)*1000 + P18 + (ROW()/10000)</f>
        <v>100000.0018</v>
      </c>
    </row>
    <row r="19" spans="1:20" x14ac:dyDescent="0.25">
      <c r="C19" s="4" t="s">
        <v>83</v>
      </c>
      <c r="D19" s="5"/>
      <c r="E19" s="6" t="s">
        <v>10</v>
      </c>
      <c r="F19" s="5"/>
      <c r="G19" s="7" t="s">
        <v>84</v>
      </c>
      <c r="H19" t="str">
        <f t="shared" si="1"/>
        <v/>
      </c>
      <c r="J19" t="s">
        <v>87</v>
      </c>
      <c r="K19" t="s">
        <v>89</v>
      </c>
      <c r="L19">
        <f>IF(ISNUMBER(F22),1,0)+IF(ISNUMBER(D25),1,0)+IF(ISNUMBER(D27),1,0)</f>
        <v>0</v>
      </c>
      <c r="M19">
        <f>IF(AND(ISNUMBER(F22),ISNUMBER(D22),F22&gt;D22),1,0)+IF(AND(ISNUMBER(D25),ISNUMBER(F25),D25&gt;F25),1,0)+IF(AND(ISNUMBER(D27),ISNUMBER(F27),D27&gt;F27),1,0)</f>
        <v>0</v>
      </c>
      <c r="N19">
        <f>IF(AND(ISNUMBER(F22),ISNUMBER(D22),F22=D22),1,0)+IF(AND(ISNUMBER(D25),ISNUMBER(F25),D25=F25),1,0)+IF(AND(ISNUMBER(D27),ISNUMBER(F27),D27=F27),1,0)</f>
        <v>0</v>
      </c>
      <c r="O19">
        <f>IF(AND(ISNUMBER(F22),ISNUMBER(D22),F22&lt;D22),1,0)+IF(AND(ISNUMBER(D25),ISNUMBER(F25),D25&lt;F25),1,0)+IF(AND(ISNUMBER(D27),ISNUMBER(F27),D27&lt;F27),1,0)</f>
        <v>0</v>
      </c>
      <c r="P19">
        <f>IF(ISNUMBER(F22),F22,0)+IF(ISNUMBER(D25),D25,0)+IF(ISNUMBER(D27),D27,0)</f>
        <v>0</v>
      </c>
      <c r="Q19">
        <f>IF(ISNUMBER(D22),D22,0)+IF(ISNUMBER(F25),F25,0)+IF(ISNUMBER(F27),F27,0)</f>
        <v>0</v>
      </c>
      <c r="R19">
        <f>P19-Q19</f>
        <v>0</v>
      </c>
      <c r="S19">
        <f>M19*3+N19</f>
        <v>0</v>
      </c>
      <c r="T19">
        <f>S19*1000000 + (R19+100)*1000 + P19 + (ROW()/10000)</f>
        <v>100000.0019</v>
      </c>
    </row>
    <row r="20" spans="1:20" x14ac:dyDescent="0.25">
      <c r="J20" t="s">
        <v>87</v>
      </c>
      <c r="K20" t="s">
        <v>90</v>
      </c>
      <c r="L20">
        <f>IF(ISNUMBER(D23),1,0)+IF(ISNUMBER(F24),1,0)+IF(ISNUMBER(F27),1,0)</f>
        <v>0</v>
      </c>
      <c r="M20">
        <f>IF(AND(ISNUMBER(D23),ISNUMBER(F23),D23&gt;F23),1,0)+IF(AND(ISNUMBER(F24),ISNUMBER(D24),F24&gt;D24),1,0)+IF(AND(ISNUMBER(F27),ISNUMBER(D27),F27&gt;D27),1,0)</f>
        <v>0</v>
      </c>
      <c r="N20">
        <f>IF(AND(ISNUMBER(D23),ISNUMBER(F23),D23=F23),1,0)+IF(AND(ISNUMBER(F24),ISNUMBER(D24),F24=D24),1,0)+IF(AND(ISNUMBER(F27),ISNUMBER(D27),F27=D27),1,0)</f>
        <v>0</v>
      </c>
      <c r="O20">
        <f>IF(AND(ISNUMBER(D23),ISNUMBER(F23),D23&lt;F23),1,0)+IF(AND(ISNUMBER(F24),ISNUMBER(D24),F24&lt;D24),1,0)+IF(AND(ISNUMBER(F27),ISNUMBER(D27),F27&lt;D27),1,0)</f>
        <v>0</v>
      </c>
      <c r="P20">
        <f>IF(ISNUMBER(D23),D23,0)+IF(ISNUMBER(F24),F24,0)+IF(ISNUMBER(F27),F27,0)</f>
        <v>0</v>
      </c>
      <c r="Q20">
        <f>IF(ISNUMBER(F23),F23,0)+IF(ISNUMBER(D24),D24,0)+IF(ISNUMBER(D27),D27,0)</f>
        <v>0</v>
      </c>
      <c r="R20">
        <f>P20-Q20</f>
        <v>0</v>
      </c>
      <c r="S20">
        <f>M20*3+N20</f>
        <v>0</v>
      </c>
      <c r="T20">
        <f>S20*1000000 + (R20+100)*1000 + P20 + (ROW()/10000)</f>
        <v>100000.00199999999</v>
      </c>
    </row>
    <row r="21" spans="1:20" ht="18.75" customHeight="1" x14ac:dyDescent="0.35">
      <c r="A21" s="12" t="s">
        <v>91</v>
      </c>
      <c r="B21" s="11"/>
      <c r="C21" s="11"/>
      <c r="D21" s="11"/>
      <c r="E21" s="11"/>
      <c r="F21" s="11"/>
      <c r="G21" s="11"/>
      <c r="H21" s="11"/>
      <c r="J21" t="s">
        <v>87</v>
      </c>
      <c r="K21" t="s">
        <v>92</v>
      </c>
      <c r="L21">
        <f>IF(ISNUMBER(F23),1,0)+IF(ISNUMBER(F25),1,0)+IF(ISNUMBER(D26),1,0)</f>
        <v>0</v>
      </c>
      <c r="M21">
        <f>IF(AND(ISNUMBER(F23),ISNUMBER(D23),F23&gt;D23),1,0)+IF(AND(ISNUMBER(F25),ISNUMBER(D25),F25&gt;D25),1,0)+IF(AND(ISNUMBER(D26),ISNUMBER(F26),D26&gt;F26),1,0)</f>
        <v>0</v>
      </c>
      <c r="N21">
        <f>IF(AND(ISNUMBER(F23),ISNUMBER(D23),F23=D23),1,0)+IF(AND(ISNUMBER(F25),ISNUMBER(D25),F25=D25),1,0)+IF(AND(ISNUMBER(D26),ISNUMBER(F26),D26=F26),1,0)</f>
        <v>0</v>
      </c>
      <c r="O21">
        <f>IF(AND(ISNUMBER(F23),ISNUMBER(D23),F23&lt;D23),1,0)+IF(AND(ISNUMBER(F25),ISNUMBER(D25),F25&lt;D25),1,0)+IF(AND(ISNUMBER(D26),ISNUMBER(F26),D26&lt;F26),1,0)</f>
        <v>0</v>
      </c>
      <c r="P21">
        <f>IF(ISNUMBER(F23),F23,0)+IF(ISNUMBER(F25),F25,0)+IF(ISNUMBER(D26),D26,0)</f>
        <v>0</v>
      </c>
      <c r="Q21">
        <f>IF(ISNUMBER(D23),D23,0)+IF(ISNUMBER(D25),D25,0)+IF(ISNUMBER(F26),F26,0)</f>
        <v>0</v>
      </c>
      <c r="R21">
        <f>P21-Q21</f>
        <v>0</v>
      </c>
      <c r="S21">
        <f>M21*3+N21</f>
        <v>0</v>
      </c>
      <c r="T21">
        <f>S21*1000000 + (R21+100)*1000 + P21 + (ROW()/10000)</f>
        <v>100000.0021</v>
      </c>
    </row>
    <row r="22" spans="1:20" x14ac:dyDescent="0.25">
      <c r="C22" s="4" t="s">
        <v>88</v>
      </c>
      <c r="D22" s="5"/>
      <c r="E22" s="6" t="s">
        <v>10</v>
      </c>
      <c r="F22" s="5"/>
      <c r="G22" s="7" t="s">
        <v>89</v>
      </c>
      <c r="H22" t="str">
        <f t="shared" ref="H22:H27" si="2">IF(AND(ISNUMBER(D22),ISNUMBER(F22)),"Ok","")</f>
        <v/>
      </c>
    </row>
    <row r="23" spans="1:20" ht="18.75" customHeight="1" x14ac:dyDescent="0.35">
      <c r="C23" s="4" t="s">
        <v>90</v>
      </c>
      <c r="D23" s="5"/>
      <c r="E23" s="6" t="s">
        <v>10</v>
      </c>
      <c r="F23" s="5"/>
      <c r="G23" s="7" t="s">
        <v>92</v>
      </c>
      <c r="H23" t="str">
        <f t="shared" si="2"/>
        <v/>
      </c>
      <c r="J23" s="12" t="s">
        <v>93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C24" s="4" t="s">
        <v>88</v>
      </c>
      <c r="D24" s="5"/>
      <c r="E24" s="6" t="s">
        <v>10</v>
      </c>
      <c r="F24" s="5"/>
      <c r="G24" s="7" t="s">
        <v>90</v>
      </c>
      <c r="H24" t="str">
        <f t="shared" si="2"/>
        <v/>
      </c>
      <c r="J24" t="s">
        <v>94</v>
      </c>
      <c r="K24" t="s">
        <v>95</v>
      </c>
      <c r="L24">
        <f>IF(ISNUMBER(D30),1,0)+IF(ISNUMBER(D32),1,0)+IF(ISNUMBER(F34),1,0)</f>
        <v>0</v>
      </c>
      <c r="M24">
        <f>IF(AND(ISNUMBER(D30),ISNUMBER(F30),D30&gt;F30),1,0)+IF(AND(ISNUMBER(D32),ISNUMBER(F32),D32&gt;F32),1,0)+IF(AND(ISNUMBER(F34),ISNUMBER(D34),F34&gt;D34),1,0)</f>
        <v>0</v>
      </c>
      <c r="N24">
        <f>IF(AND(ISNUMBER(D30),ISNUMBER(F30),D30=F30),1,0)+IF(AND(ISNUMBER(D32),ISNUMBER(F32),D32=F32),1,0)+IF(AND(ISNUMBER(F34),ISNUMBER(D34),F34=D34),1,0)</f>
        <v>0</v>
      </c>
      <c r="O24">
        <f>IF(AND(ISNUMBER(D30),ISNUMBER(F30),D30&lt;F30),1,0)+IF(AND(ISNUMBER(D32),ISNUMBER(F32),D32&lt;F32),1,0)+IF(AND(ISNUMBER(F34),ISNUMBER(D34),F34&lt;D34),1,0)</f>
        <v>0</v>
      </c>
      <c r="P24">
        <f>IF(ISNUMBER(D30),D30,0)+IF(ISNUMBER(D32),D32,0)+IF(ISNUMBER(F34),F34,0)</f>
        <v>0</v>
      </c>
      <c r="Q24">
        <f>IF(ISNUMBER(F30),F30,0)+IF(ISNUMBER(F32),F32,0)+IF(ISNUMBER(D34),D34,0)</f>
        <v>0</v>
      </c>
      <c r="R24">
        <f>P24-Q24</f>
        <v>0</v>
      </c>
      <c r="S24">
        <f>M24*3+N24</f>
        <v>0</v>
      </c>
      <c r="T24">
        <f>S24*1000000 + (R24+100)*1000 + P24 + (ROW()/10000)</f>
        <v>100000.0024</v>
      </c>
    </row>
    <row r="25" spans="1:20" x14ac:dyDescent="0.25">
      <c r="C25" s="4" t="s">
        <v>89</v>
      </c>
      <c r="D25" s="5"/>
      <c r="E25" s="6" t="s">
        <v>10</v>
      </c>
      <c r="F25" s="5"/>
      <c r="G25" s="7" t="s">
        <v>92</v>
      </c>
      <c r="H25" t="str">
        <f t="shared" si="2"/>
        <v/>
      </c>
      <c r="J25" t="s">
        <v>94</v>
      </c>
      <c r="K25" t="s">
        <v>96</v>
      </c>
      <c r="L25">
        <f>IF(ISNUMBER(F30),1,0)+IF(ISNUMBER(D33),1,0)+IF(ISNUMBER(D35),1,0)</f>
        <v>0</v>
      </c>
      <c r="M25">
        <f>IF(AND(ISNUMBER(F30),ISNUMBER(D30),F30&gt;D30),1,0)+IF(AND(ISNUMBER(D33),ISNUMBER(F33),D33&gt;F33),1,0)+IF(AND(ISNUMBER(D35),ISNUMBER(F35),D35&gt;F35),1,0)</f>
        <v>0</v>
      </c>
      <c r="N25">
        <f>IF(AND(ISNUMBER(F30),ISNUMBER(D30),F30=D30),1,0)+IF(AND(ISNUMBER(D33),ISNUMBER(F33),D33=F33),1,0)+IF(AND(ISNUMBER(D35),ISNUMBER(F35),D35=F35),1,0)</f>
        <v>0</v>
      </c>
      <c r="O25">
        <f>IF(AND(ISNUMBER(F30),ISNUMBER(D30),F30&lt;D30),1,0)+IF(AND(ISNUMBER(D33),ISNUMBER(F33),D33&lt;F33),1,0)+IF(AND(ISNUMBER(D35),ISNUMBER(F35),D35&lt;F35),1,0)</f>
        <v>0</v>
      </c>
      <c r="P25">
        <f>IF(ISNUMBER(F30),F30,0)+IF(ISNUMBER(D33),D33,0)+IF(ISNUMBER(D35),D35,0)</f>
        <v>0</v>
      </c>
      <c r="Q25">
        <f>IF(ISNUMBER(D30),D30,0)+IF(ISNUMBER(F33),F33,0)+IF(ISNUMBER(F35),F35,0)</f>
        <v>0</v>
      </c>
      <c r="R25">
        <f>P25-Q25</f>
        <v>0</v>
      </c>
      <c r="S25">
        <f>M25*3+N25</f>
        <v>0</v>
      </c>
      <c r="T25">
        <f>S25*1000000 + (R25+100)*1000 + P25 + (ROW()/10000)</f>
        <v>100000.0025</v>
      </c>
    </row>
    <row r="26" spans="1:20" x14ac:dyDescent="0.25">
      <c r="C26" s="4" t="s">
        <v>92</v>
      </c>
      <c r="D26" s="5"/>
      <c r="E26" s="6" t="s">
        <v>10</v>
      </c>
      <c r="F26" s="5"/>
      <c r="G26" s="7" t="s">
        <v>88</v>
      </c>
      <c r="H26" t="str">
        <f t="shared" si="2"/>
        <v/>
      </c>
      <c r="J26" t="s">
        <v>94</v>
      </c>
      <c r="K26" t="s">
        <v>97</v>
      </c>
      <c r="L26">
        <f>IF(ISNUMBER(D31),1,0)+IF(ISNUMBER(F32),1,0)+IF(ISNUMBER(F35),1,0)</f>
        <v>0</v>
      </c>
      <c r="M26">
        <f>IF(AND(ISNUMBER(D31),ISNUMBER(F31),D31&gt;F31),1,0)+IF(AND(ISNUMBER(F32),ISNUMBER(D32),F32&gt;D32),1,0)+IF(AND(ISNUMBER(F35),ISNUMBER(D35),F35&gt;D35),1,0)</f>
        <v>0</v>
      </c>
      <c r="N26">
        <f>IF(AND(ISNUMBER(D31),ISNUMBER(F31),D31=F31),1,0)+IF(AND(ISNUMBER(F32),ISNUMBER(D32),F32=D32),1,0)+IF(AND(ISNUMBER(F35),ISNUMBER(D35),F35=D35),1,0)</f>
        <v>0</v>
      </c>
      <c r="O26">
        <f>IF(AND(ISNUMBER(D31),ISNUMBER(F31),D31&lt;F31),1,0)+IF(AND(ISNUMBER(F32),ISNUMBER(D32),F32&lt;D32),1,0)+IF(AND(ISNUMBER(F35),ISNUMBER(D35),F35&lt;D35),1,0)</f>
        <v>0</v>
      </c>
      <c r="P26">
        <f>IF(ISNUMBER(D31),D31,0)+IF(ISNUMBER(F32),F32,0)+IF(ISNUMBER(F35),F35,0)</f>
        <v>0</v>
      </c>
      <c r="Q26">
        <f>IF(ISNUMBER(F31),F31,0)+IF(ISNUMBER(D32),D32,0)+IF(ISNUMBER(D35),D35,0)</f>
        <v>0</v>
      </c>
      <c r="R26">
        <f>P26-Q26</f>
        <v>0</v>
      </c>
      <c r="S26">
        <f>M26*3+N26</f>
        <v>0</v>
      </c>
      <c r="T26">
        <f>S26*1000000 + (R26+100)*1000 + P26 + (ROW()/10000)</f>
        <v>100000.00260000001</v>
      </c>
    </row>
    <row r="27" spans="1:20" x14ac:dyDescent="0.25">
      <c r="C27" s="4" t="s">
        <v>89</v>
      </c>
      <c r="D27" s="5"/>
      <c r="E27" s="6" t="s">
        <v>10</v>
      </c>
      <c r="F27" s="5"/>
      <c r="G27" s="7" t="s">
        <v>90</v>
      </c>
      <c r="H27" t="str">
        <f t="shared" si="2"/>
        <v/>
      </c>
      <c r="J27" t="s">
        <v>94</v>
      </c>
      <c r="K27" t="s">
        <v>98</v>
      </c>
      <c r="L27">
        <f>IF(ISNUMBER(F31),1,0)+IF(ISNUMBER(F33),1,0)+IF(ISNUMBER(D34),1,0)</f>
        <v>0</v>
      </c>
      <c r="M27">
        <f>IF(AND(ISNUMBER(F31),ISNUMBER(D31),F31&gt;D31),1,0)+IF(AND(ISNUMBER(F33),ISNUMBER(D33),F33&gt;D33),1,0)+IF(AND(ISNUMBER(D34),ISNUMBER(F34),D34&gt;F34),1,0)</f>
        <v>0</v>
      </c>
      <c r="N27">
        <f>IF(AND(ISNUMBER(F31),ISNUMBER(D31),F31=D31),1,0)+IF(AND(ISNUMBER(F33),ISNUMBER(D33),F33=D33),1,0)+IF(AND(ISNUMBER(D34),ISNUMBER(F34),D34=F34),1,0)</f>
        <v>0</v>
      </c>
      <c r="O27">
        <f>IF(AND(ISNUMBER(F31),ISNUMBER(D31),F31&lt;D31),1,0)+IF(AND(ISNUMBER(F33),ISNUMBER(D33),F33&lt;D33),1,0)+IF(AND(ISNUMBER(D34),ISNUMBER(F34),D34&lt;F34),1,0)</f>
        <v>0</v>
      </c>
      <c r="P27">
        <f>IF(ISNUMBER(F31),F31,0)+IF(ISNUMBER(F33),F33,0)+IF(ISNUMBER(D34),D34,0)</f>
        <v>0</v>
      </c>
      <c r="Q27">
        <f>IF(ISNUMBER(D31),D31,0)+IF(ISNUMBER(D33),D33,0)+IF(ISNUMBER(F34),F34,0)</f>
        <v>0</v>
      </c>
      <c r="R27">
        <f>P27-Q27</f>
        <v>0</v>
      </c>
      <c r="S27">
        <f>M27*3+N27</f>
        <v>0</v>
      </c>
      <c r="T27">
        <f>S27*1000000 + (R27+100)*1000 + P27 + (ROW()/10000)</f>
        <v>100000.0027</v>
      </c>
    </row>
    <row r="29" spans="1:20" ht="18.75" customHeight="1" x14ac:dyDescent="0.35">
      <c r="A29" s="12" t="s">
        <v>99</v>
      </c>
      <c r="B29" s="11"/>
      <c r="C29" s="11"/>
      <c r="D29" s="11"/>
      <c r="E29" s="11"/>
      <c r="F29" s="11"/>
      <c r="G29" s="11"/>
      <c r="H29" s="11"/>
      <c r="J29" s="12" t="s">
        <v>100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5">
      <c r="C30" s="4" t="s">
        <v>95</v>
      </c>
      <c r="D30" s="5"/>
      <c r="E30" s="6" t="s">
        <v>10</v>
      </c>
      <c r="F30" s="5"/>
      <c r="G30" s="7" t="s">
        <v>96</v>
      </c>
      <c r="H30" t="str">
        <f t="shared" ref="H30:H35" si="3">IF(AND(ISNUMBER(D30),ISNUMBER(F30)),"Ok","")</f>
        <v/>
      </c>
      <c r="J30" t="s">
        <v>101</v>
      </c>
      <c r="K30" t="s">
        <v>102</v>
      </c>
      <c r="L30">
        <f>IF(ISNUMBER(D38),1,0)+IF(ISNUMBER(D40),1,0)+IF(ISNUMBER(F42),1,0)</f>
        <v>0</v>
      </c>
      <c r="M30">
        <f>IF(AND(ISNUMBER(D38),ISNUMBER(F38),D38&gt;F38),1,0)+IF(AND(ISNUMBER(D40),ISNUMBER(F40),D40&gt;F40),1,0)+IF(AND(ISNUMBER(F42),ISNUMBER(D42),F42&gt;D42),1,0)</f>
        <v>0</v>
      </c>
      <c r="N30">
        <f>IF(AND(ISNUMBER(D38),ISNUMBER(F38),D38=F38),1,0)+IF(AND(ISNUMBER(D40),ISNUMBER(F40),D40=F40),1,0)+IF(AND(ISNUMBER(F42),ISNUMBER(D42),F42=D42),1,0)</f>
        <v>0</v>
      </c>
      <c r="O30">
        <f>IF(AND(ISNUMBER(D38),ISNUMBER(F38),D38&lt;F38),1,0)+IF(AND(ISNUMBER(D40),ISNUMBER(F40),D40&lt;F40),1,0)+IF(AND(ISNUMBER(F42),ISNUMBER(D42),F42&lt;D42),1,0)</f>
        <v>0</v>
      </c>
      <c r="P30">
        <f>IF(ISNUMBER(D38),D38,0)+IF(ISNUMBER(D40),D40,0)+IF(ISNUMBER(F42),F42,0)</f>
        <v>0</v>
      </c>
      <c r="Q30">
        <f>IF(ISNUMBER(F38),F38,0)+IF(ISNUMBER(F40),F40,0)+IF(ISNUMBER(D42),D42,0)</f>
        <v>0</v>
      </c>
      <c r="R30">
        <f>P30-Q30</f>
        <v>0</v>
      </c>
      <c r="S30">
        <f>M30*3+N30</f>
        <v>0</v>
      </c>
      <c r="T30">
        <f>S30*1000000 + (R30+100)*1000 + P30 + (ROW()/10000)</f>
        <v>100000.003</v>
      </c>
    </row>
    <row r="31" spans="1:20" x14ac:dyDescent="0.25">
      <c r="C31" s="4" t="s">
        <v>97</v>
      </c>
      <c r="D31" s="5"/>
      <c r="E31" s="6" t="s">
        <v>10</v>
      </c>
      <c r="F31" s="5"/>
      <c r="G31" s="7" t="s">
        <v>98</v>
      </c>
      <c r="H31" t="str">
        <f t="shared" si="3"/>
        <v/>
      </c>
      <c r="J31" t="s">
        <v>101</v>
      </c>
      <c r="K31" t="s">
        <v>103</v>
      </c>
      <c r="L31">
        <f>IF(ISNUMBER(F38),1,0)+IF(ISNUMBER(D41),1,0)+IF(ISNUMBER(D43),1,0)</f>
        <v>0</v>
      </c>
      <c r="M31">
        <f>IF(AND(ISNUMBER(F38),ISNUMBER(D38),F38&gt;D38),1,0)+IF(AND(ISNUMBER(D41),ISNUMBER(F41),D41&gt;F41),1,0)+IF(AND(ISNUMBER(D43),ISNUMBER(F43),D43&gt;F43),1,0)</f>
        <v>0</v>
      </c>
      <c r="N31">
        <f>IF(AND(ISNUMBER(F38),ISNUMBER(D38),F38=D38),1,0)+IF(AND(ISNUMBER(D41),ISNUMBER(F41),D41=F41),1,0)+IF(AND(ISNUMBER(D43),ISNUMBER(F43),D43=F43),1,0)</f>
        <v>0</v>
      </c>
      <c r="O31">
        <f>IF(AND(ISNUMBER(F38),ISNUMBER(D38),F38&lt;D38),1,0)+IF(AND(ISNUMBER(D41),ISNUMBER(F41),D41&lt;F41),1,0)+IF(AND(ISNUMBER(D43),ISNUMBER(F43),D43&lt;F43),1,0)</f>
        <v>0</v>
      </c>
      <c r="P31">
        <f>IF(ISNUMBER(F38),F38,0)+IF(ISNUMBER(D41),D41,0)+IF(ISNUMBER(D43),D43,0)</f>
        <v>0</v>
      </c>
      <c r="Q31">
        <f>IF(ISNUMBER(D38),D38,0)+IF(ISNUMBER(F41),F41,0)+IF(ISNUMBER(F43),F43,0)</f>
        <v>0</v>
      </c>
      <c r="R31">
        <f>P31-Q31</f>
        <v>0</v>
      </c>
      <c r="S31">
        <f>M31*3+N31</f>
        <v>0</v>
      </c>
      <c r="T31">
        <f>S31*1000000 + (R31+100)*1000 + P31 + (ROW()/10000)</f>
        <v>100000.0031</v>
      </c>
    </row>
    <row r="32" spans="1:20" x14ac:dyDescent="0.25">
      <c r="C32" s="4" t="s">
        <v>95</v>
      </c>
      <c r="D32" s="5"/>
      <c r="E32" s="6" t="s">
        <v>10</v>
      </c>
      <c r="F32" s="5"/>
      <c r="G32" s="7" t="s">
        <v>97</v>
      </c>
      <c r="H32" t="str">
        <f t="shared" si="3"/>
        <v/>
      </c>
      <c r="J32" t="s">
        <v>101</v>
      </c>
      <c r="K32" t="s">
        <v>104</v>
      </c>
      <c r="L32">
        <f>IF(ISNUMBER(D39),1,0)+IF(ISNUMBER(F40),1,0)+IF(ISNUMBER(F43),1,0)</f>
        <v>0</v>
      </c>
      <c r="M32">
        <f>IF(AND(ISNUMBER(D39),ISNUMBER(F39),D39&gt;F39),1,0)+IF(AND(ISNUMBER(F40),ISNUMBER(D40),F40&gt;D40),1,0)+IF(AND(ISNUMBER(F43),ISNUMBER(D43),F43&gt;D43),1,0)</f>
        <v>0</v>
      </c>
      <c r="N32">
        <f>IF(AND(ISNUMBER(D39),ISNUMBER(F39),D39=F39),1,0)+IF(AND(ISNUMBER(F40),ISNUMBER(D40),F40=D40),1,0)+IF(AND(ISNUMBER(F43),ISNUMBER(D43),F43=D43),1,0)</f>
        <v>0</v>
      </c>
      <c r="O32">
        <f>IF(AND(ISNUMBER(D39),ISNUMBER(F39),D39&lt;F39),1,0)+IF(AND(ISNUMBER(F40),ISNUMBER(D40),F40&lt;D40),1,0)+IF(AND(ISNUMBER(F43),ISNUMBER(D43),F43&lt;D43),1,0)</f>
        <v>0</v>
      </c>
      <c r="P32">
        <f>IF(ISNUMBER(D39),D39,0)+IF(ISNUMBER(F40),F40,0)+IF(ISNUMBER(F43),F43,0)</f>
        <v>0</v>
      </c>
      <c r="Q32">
        <f>IF(ISNUMBER(F39),F39,0)+IF(ISNUMBER(D40),D40,0)+IF(ISNUMBER(D43),D43,0)</f>
        <v>0</v>
      </c>
      <c r="R32">
        <f>P32-Q32</f>
        <v>0</v>
      </c>
      <c r="S32">
        <f>M32*3+N32</f>
        <v>0</v>
      </c>
      <c r="T32">
        <f>S32*1000000 + (R32+100)*1000 + P32 + (ROW()/10000)</f>
        <v>100000.00320000001</v>
      </c>
    </row>
    <row r="33" spans="1:20" x14ac:dyDescent="0.25">
      <c r="C33" s="4" t="s">
        <v>96</v>
      </c>
      <c r="D33" s="5"/>
      <c r="E33" s="6" t="s">
        <v>10</v>
      </c>
      <c r="F33" s="5"/>
      <c r="G33" s="7" t="s">
        <v>98</v>
      </c>
      <c r="H33" t="str">
        <f t="shared" si="3"/>
        <v/>
      </c>
      <c r="J33" t="s">
        <v>101</v>
      </c>
      <c r="K33" t="s">
        <v>105</v>
      </c>
      <c r="L33">
        <f>IF(ISNUMBER(F39),1,0)+IF(ISNUMBER(F41),1,0)+IF(ISNUMBER(D42),1,0)</f>
        <v>0</v>
      </c>
      <c r="M33">
        <f>IF(AND(ISNUMBER(F39),ISNUMBER(D39),F39&gt;D39),1,0)+IF(AND(ISNUMBER(F41),ISNUMBER(D41),F41&gt;D41),1,0)+IF(AND(ISNUMBER(D42),ISNUMBER(F42),D42&gt;F42),1,0)</f>
        <v>0</v>
      </c>
      <c r="N33">
        <f>IF(AND(ISNUMBER(F39),ISNUMBER(D39),F39=D39),1,0)+IF(AND(ISNUMBER(F41),ISNUMBER(D41),F41=D41),1,0)+IF(AND(ISNUMBER(D42),ISNUMBER(F42),D42=F42),1,0)</f>
        <v>0</v>
      </c>
      <c r="O33">
        <f>IF(AND(ISNUMBER(F39),ISNUMBER(D39),F39&lt;D39),1,0)+IF(AND(ISNUMBER(F41),ISNUMBER(D41),F41&lt;D41),1,0)+IF(AND(ISNUMBER(D42),ISNUMBER(F42),D42&lt;F42),1,0)</f>
        <v>0</v>
      </c>
      <c r="P33">
        <f>IF(ISNUMBER(F39),F39,0)+IF(ISNUMBER(F41),F41,0)+IF(ISNUMBER(D42),D42,0)</f>
        <v>0</v>
      </c>
      <c r="Q33">
        <f>IF(ISNUMBER(D39),D39,0)+IF(ISNUMBER(D41),D41,0)+IF(ISNUMBER(F42),F42,0)</f>
        <v>0</v>
      </c>
      <c r="R33">
        <f>P33-Q33</f>
        <v>0</v>
      </c>
      <c r="S33">
        <f>M33*3+N33</f>
        <v>0</v>
      </c>
      <c r="T33">
        <f>S33*1000000 + (R33+100)*1000 + P33 + (ROW()/10000)</f>
        <v>100000.0033</v>
      </c>
    </row>
    <row r="34" spans="1:20" x14ac:dyDescent="0.25">
      <c r="C34" s="4" t="s">
        <v>98</v>
      </c>
      <c r="D34" s="5"/>
      <c r="E34" s="6" t="s">
        <v>10</v>
      </c>
      <c r="F34" s="5"/>
      <c r="G34" s="7" t="s">
        <v>95</v>
      </c>
      <c r="H34" t="str">
        <f t="shared" si="3"/>
        <v/>
      </c>
    </row>
    <row r="35" spans="1:20" ht="18.75" customHeight="1" x14ac:dyDescent="0.35">
      <c r="C35" s="4" t="s">
        <v>96</v>
      </c>
      <c r="D35" s="5"/>
      <c r="E35" s="6" t="s">
        <v>10</v>
      </c>
      <c r="F35" s="5"/>
      <c r="G35" s="7" t="s">
        <v>97</v>
      </c>
      <c r="H35" t="str">
        <f t="shared" si="3"/>
        <v/>
      </c>
      <c r="J35" s="12" t="s">
        <v>106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5">
      <c r="J36" t="s">
        <v>107</v>
      </c>
      <c r="K36" t="s">
        <v>108</v>
      </c>
      <c r="L36">
        <f>IF(ISNUMBER(D46),1,0)+IF(ISNUMBER(D48),1,0)+IF(ISNUMBER(F50),1,0)</f>
        <v>0</v>
      </c>
      <c r="M36">
        <f>IF(AND(ISNUMBER(D46),ISNUMBER(F46),D46&gt;F46),1,0)+IF(AND(ISNUMBER(D48),ISNUMBER(F48),D48&gt;F48),1,0)+IF(AND(ISNUMBER(F50),ISNUMBER(D50),F50&gt;D50),1,0)</f>
        <v>0</v>
      </c>
      <c r="N36">
        <f>IF(AND(ISNUMBER(D46),ISNUMBER(F46),D46=F46),1,0)+IF(AND(ISNUMBER(D48),ISNUMBER(F48),D48=F48),1,0)+IF(AND(ISNUMBER(F50),ISNUMBER(D50),F50=D50),1,0)</f>
        <v>0</v>
      </c>
      <c r="O36">
        <f>IF(AND(ISNUMBER(D46),ISNUMBER(F46),D46&lt;F46),1,0)+IF(AND(ISNUMBER(D48),ISNUMBER(F48),D48&lt;F48),1,0)+IF(AND(ISNUMBER(F50),ISNUMBER(D50),F50&lt;D50),1,0)</f>
        <v>0</v>
      </c>
      <c r="P36">
        <f>IF(ISNUMBER(D46),D46,0)+IF(ISNUMBER(D48),D48,0)+IF(ISNUMBER(F50),F50,0)</f>
        <v>0</v>
      </c>
      <c r="Q36">
        <f>IF(ISNUMBER(F46),F46,0)+IF(ISNUMBER(F48),F48,0)+IF(ISNUMBER(D50),D50,0)</f>
        <v>0</v>
      </c>
      <c r="R36">
        <f>P36-Q36</f>
        <v>0</v>
      </c>
      <c r="S36">
        <f>M36*3+N36</f>
        <v>0</v>
      </c>
      <c r="T36">
        <f>S36*1000000 + (R36+100)*1000 + P36 + (ROW()/10000)</f>
        <v>100000.0036</v>
      </c>
    </row>
    <row r="37" spans="1:20" ht="18.75" customHeight="1" x14ac:dyDescent="0.35">
      <c r="A37" s="12" t="s">
        <v>109</v>
      </c>
      <c r="B37" s="11"/>
      <c r="C37" s="11"/>
      <c r="D37" s="11"/>
      <c r="E37" s="11"/>
      <c r="F37" s="11"/>
      <c r="G37" s="11"/>
      <c r="H37" s="11"/>
      <c r="J37" t="s">
        <v>107</v>
      </c>
      <c r="K37" t="s">
        <v>110</v>
      </c>
      <c r="L37">
        <f>IF(ISNUMBER(F46),1,0)+IF(ISNUMBER(D49),1,0)+IF(ISNUMBER(D51),1,0)</f>
        <v>0</v>
      </c>
      <c r="M37">
        <f>IF(AND(ISNUMBER(F46),ISNUMBER(D46),F46&gt;D46),1,0)+IF(AND(ISNUMBER(D49),ISNUMBER(F49),D49&gt;F49),1,0)+IF(AND(ISNUMBER(D51),ISNUMBER(F51),D51&gt;F51),1,0)</f>
        <v>0</v>
      </c>
      <c r="N37">
        <f>IF(AND(ISNUMBER(F46),ISNUMBER(D46),F46=D46),1,0)+IF(AND(ISNUMBER(D49),ISNUMBER(F49),D49=F49),1,0)+IF(AND(ISNUMBER(D51),ISNUMBER(F51),D51=F51),1,0)</f>
        <v>0</v>
      </c>
      <c r="O37">
        <f>IF(AND(ISNUMBER(F46),ISNUMBER(D46),F46&lt;D46),1,0)+IF(AND(ISNUMBER(D49),ISNUMBER(F49),D49&lt;F49),1,0)+IF(AND(ISNUMBER(D51),ISNUMBER(F51),D51&lt;F51),1,0)</f>
        <v>0</v>
      </c>
      <c r="P37">
        <f>IF(ISNUMBER(F46),F46,0)+IF(ISNUMBER(D49),D49,0)+IF(ISNUMBER(D51),D51,0)</f>
        <v>0</v>
      </c>
      <c r="Q37">
        <f>IF(ISNUMBER(D46),D46,0)+IF(ISNUMBER(F49),F49,0)+IF(ISNUMBER(F51),F51,0)</f>
        <v>0</v>
      </c>
      <c r="R37">
        <f>P37-Q37</f>
        <v>0</v>
      </c>
      <c r="S37">
        <f>M37*3+N37</f>
        <v>0</v>
      </c>
      <c r="T37">
        <f>S37*1000000 + (R37+100)*1000 + P37 + (ROW()/10000)</f>
        <v>100000.0037</v>
      </c>
    </row>
    <row r="38" spans="1:20" x14ac:dyDescent="0.25">
      <c r="C38" s="4" t="s">
        <v>102</v>
      </c>
      <c r="D38" s="5"/>
      <c r="E38" s="6" t="s">
        <v>10</v>
      </c>
      <c r="F38" s="5"/>
      <c r="G38" s="7" t="s">
        <v>103</v>
      </c>
      <c r="H38" t="str">
        <f t="shared" ref="H38:H43" si="4">IF(AND(ISNUMBER(D38),ISNUMBER(F38)),"Ok","")</f>
        <v/>
      </c>
      <c r="J38" t="s">
        <v>107</v>
      </c>
      <c r="K38" t="s">
        <v>111</v>
      </c>
      <c r="L38">
        <f>IF(ISNUMBER(D47),1,0)+IF(ISNUMBER(F48),1,0)+IF(ISNUMBER(F51),1,0)</f>
        <v>0</v>
      </c>
      <c r="M38">
        <f>IF(AND(ISNUMBER(D47),ISNUMBER(F47),D47&gt;F47),1,0)+IF(AND(ISNUMBER(F48),ISNUMBER(D48),F48&gt;D48),1,0)+IF(AND(ISNUMBER(F51),ISNUMBER(D51),F51&gt;D51),1,0)</f>
        <v>0</v>
      </c>
      <c r="N38">
        <f>IF(AND(ISNUMBER(D47),ISNUMBER(F47),D47=F47),1,0)+IF(AND(ISNUMBER(F48),ISNUMBER(D48),F48=D48),1,0)+IF(AND(ISNUMBER(F51),ISNUMBER(D51),F51=D51),1,0)</f>
        <v>0</v>
      </c>
      <c r="O38">
        <f>IF(AND(ISNUMBER(D47),ISNUMBER(F47),D47&lt;F47),1,0)+IF(AND(ISNUMBER(F48),ISNUMBER(D48),F48&lt;D48),1,0)+IF(AND(ISNUMBER(F51),ISNUMBER(D51),F51&lt;D51),1,0)</f>
        <v>0</v>
      </c>
      <c r="P38">
        <f>IF(ISNUMBER(D47),D47,0)+IF(ISNUMBER(F48),F48,0)+IF(ISNUMBER(F51),F51,0)</f>
        <v>0</v>
      </c>
      <c r="Q38">
        <f>IF(ISNUMBER(F47),F47,0)+IF(ISNUMBER(D48),D48,0)+IF(ISNUMBER(D51),D51,0)</f>
        <v>0</v>
      </c>
      <c r="R38">
        <f>P38-Q38</f>
        <v>0</v>
      </c>
      <c r="S38">
        <f>M38*3+N38</f>
        <v>0</v>
      </c>
      <c r="T38">
        <f>S38*1000000 + (R38+100)*1000 + P38 + (ROW()/10000)</f>
        <v>100000.00380000001</v>
      </c>
    </row>
    <row r="39" spans="1:20" x14ac:dyDescent="0.25">
      <c r="C39" s="4" t="s">
        <v>104</v>
      </c>
      <c r="D39" s="5"/>
      <c r="E39" s="6" t="s">
        <v>10</v>
      </c>
      <c r="F39" s="5"/>
      <c r="G39" s="7" t="s">
        <v>105</v>
      </c>
      <c r="H39" t="str">
        <f t="shared" si="4"/>
        <v/>
      </c>
      <c r="J39" t="s">
        <v>107</v>
      </c>
      <c r="K39" t="s">
        <v>112</v>
      </c>
      <c r="L39">
        <f>IF(ISNUMBER(F47),1,0)+IF(ISNUMBER(F49),1,0)+IF(ISNUMBER(D50),1,0)</f>
        <v>0</v>
      </c>
      <c r="M39">
        <f>IF(AND(ISNUMBER(F47),ISNUMBER(D47),F47&gt;D47),1,0)+IF(AND(ISNUMBER(F49),ISNUMBER(D49),F49&gt;D49),1,0)+IF(AND(ISNUMBER(D50),ISNUMBER(F50),D50&gt;F50),1,0)</f>
        <v>0</v>
      </c>
      <c r="N39">
        <f>IF(AND(ISNUMBER(F47),ISNUMBER(D47),F47=D47),1,0)+IF(AND(ISNUMBER(F49),ISNUMBER(D49),F49=D49),1,0)+IF(AND(ISNUMBER(D50),ISNUMBER(F50),D50=F50),1,0)</f>
        <v>0</v>
      </c>
      <c r="O39">
        <f>IF(AND(ISNUMBER(F47),ISNUMBER(D47),F47&lt;D47),1,0)+IF(AND(ISNUMBER(F49),ISNUMBER(D49),F49&lt;D49),1,0)+IF(AND(ISNUMBER(D50),ISNUMBER(F50),D50&lt;F50),1,0)</f>
        <v>0</v>
      </c>
      <c r="P39">
        <f>IF(ISNUMBER(F47),F47,0)+IF(ISNUMBER(F49),F49,0)+IF(ISNUMBER(D50),D50,0)</f>
        <v>0</v>
      </c>
      <c r="Q39">
        <f>IF(ISNUMBER(D47),D47,0)+IF(ISNUMBER(D49),D49,0)+IF(ISNUMBER(F50),F50,0)</f>
        <v>0</v>
      </c>
      <c r="R39">
        <f>P39-Q39</f>
        <v>0</v>
      </c>
      <c r="S39">
        <f>M39*3+N39</f>
        <v>0</v>
      </c>
      <c r="T39">
        <f>S39*1000000 + (R39+100)*1000 + P39 + (ROW()/10000)</f>
        <v>100000.0039</v>
      </c>
    </row>
    <row r="40" spans="1:20" x14ac:dyDescent="0.25">
      <c r="C40" s="4" t="s">
        <v>102</v>
      </c>
      <c r="D40" s="5"/>
      <c r="E40" s="6" t="s">
        <v>10</v>
      </c>
      <c r="F40" s="5"/>
      <c r="G40" s="7" t="s">
        <v>104</v>
      </c>
      <c r="H40" t="str">
        <f t="shared" si="4"/>
        <v/>
      </c>
    </row>
    <row r="41" spans="1:20" ht="18.75" customHeight="1" x14ac:dyDescent="0.35">
      <c r="C41" s="4" t="s">
        <v>103</v>
      </c>
      <c r="D41" s="5"/>
      <c r="E41" s="6" t="s">
        <v>10</v>
      </c>
      <c r="F41" s="5"/>
      <c r="G41" s="7" t="s">
        <v>105</v>
      </c>
      <c r="H41" t="str">
        <f t="shared" si="4"/>
        <v/>
      </c>
      <c r="J41" s="12" t="s">
        <v>113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5">
      <c r="C42" s="4" t="s">
        <v>105</v>
      </c>
      <c r="D42" s="5"/>
      <c r="E42" s="6" t="s">
        <v>10</v>
      </c>
      <c r="F42" s="5"/>
      <c r="G42" s="7" t="s">
        <v>102</v>
      </c>
      <c r="H42" t="str">
        <f t="shared" si="4"/>
        <v/>
      </c>
      <c r="J42" t="s">
        <v>114</v>
      </c>
      <c r="K42" t="s">
        <v>115</v>
      </c>
      <c r="L42">
        <f>IF(ISNUMBER(D54),1,0)+IF(ISNUMBER(D56),1,0)+IF(ISNUMBER(F58),1,0)</f>
        <v>0</v>
      </c>
      <c r="M42">
        <f>IF(AND(ISNUMBER(D54),ISNUMBER(F54),D54&gt;F54),1,0)+IF(AND(ISNUMBER(D56),ISNUMBER(F56),D56&gt;F56),1,0)+IF(AND(ISNUMBER(F58),ISNUMBER(D58),F58&gt;D58),1,0)</f>
        <v>0</v>
      </c>
      <c r="N42">
        <f>IF(AND(ISNUMBER(D54),ISNUMBER(F54),D54=F54),1,0)+IF(AND(ISNUMBER(D56),ISNUMBER(F56),D56=F56),1,0)+IF(AND(ISNUMBER(F58),ISNUMBER(D58),F58=D58),1,0)</f>
        <v>0</v>
      </c>
      <c r="O42">
        <f>IF(AND(ISNUMBER(D54),ISNUMBER(F54),D54&lt;F54),1,0)+IF(AND(ISNUMBER(D56),ISNUMBER(F56),D56&lt;F56),1,0)+IF(AND(ISNUMBER(F58),ISNUMBER(D58),F58&lt;D58),1,0)</f>
        <v>0</v>
      </c>
      <c r="P42">
        <f>IF(ISNUMBER(D54),D54,0)+IF(ISNUMBER(D56),D56,0)+IF(ISNUMBER(F58),F58,0)</f>
        <v>0</v>
      </c>
      <c r="Q42">
        <f>IF(ISNUMBER(F54),F54,0)+IF(ISNUMBER(F56),F56,0)+IF(ISNUMBER(D58),D58,0)</f>
        <v>0</v>
      </c>
      <c r="R42">
        <f>P42-Q42</f>
        <v>0</v>
      </c>
      <c r="S42">
        <f>M42*3+N42</f>
        <v>0</v>
      </c>
      <c r="T42">
        <f>S42*1000000 + (R42+100)*1000 + P42 + (ROW()/10000)</f>
        <v>100000.0042</v>
      </c>
    </row>
    <row r="43" spans="1:20" x14ac:dyDescent="0.25">
      <c r="C43" s="4" t="s">
        <v>103</v>
      </c>
      <c r="D43" s="5"/>
      <c r="E43" s="6" t="s">
        <v>10</v>
      </c>
      <c r="F43" s="5"/>
      <c r="G43" s="7" t="s">
        <v>104</v>
      </c>
      <c r="H43" t="str">
        <f t="shared" si="4"/>
        <v/>
      </c>
      <c r="J43" t="s">
        <v>114</v>
      </c>
      <c r="K43" t="s">
        <v>116</v>
      </c>
      <c r="L43">
        <f>IF(ISNUMBER(F54),1,0)+IF(ISNUMBER(D57),1,0)+IF(ISNUMBER(D59),1,0)</f>
        <v>0</v>
      </c>
      <c r="M43">
        <f>IF(AND(ISNUMBER(F54),ISNUMBER(D54),F54&gt;D54),1,0)+IF(AND(ISNUMBER(D57),ISNUMBER(F57),D57&gt;F57),1,0)+IF(AND(ISNUMBER(D59),ISNUMBER(F59),D59&gt;F59),1,0)</f>
        <v>0</v>
      </c>
      <c r="N43">
        <f>IF(AND(ISNUMBER(F54),ISNUMBER(D54),F54=D54),1,0)+IF(AND(ISNUMBER(D57),ISNUMBER(F57),D57=F57),1,0)+IF(AND(ISNUMBER(D59),ISNUMBER(F59),D59=F59),1,0)</f>
        <v>0</v>
      </c>
      <c r="O43">
        <f>IF(AND(ISNUMBER(F54),ISNUMBER(D54),F54&lt;D54),1,0)+IF(AND(ISNUMBER(D57),ISNUMBER(F57),D57&lt;F57),1,0)+IF(AND(ISNUMBER(D59),ISNUMBER(F59),D59&lt;F59),1,0)</f>
        <v>0</v>
      </c>
      <c r="P43">
        <f>IF(ISNUMBER(F54),F54,0)+IF(ISNUMBER(D57),D57,0)+IF(ISNUMBER(D59),D59,0)</f>
        <v>0</v>
      </c>
      <c r="Q43">
        <f>IF(ISNUMBER(D54),D54,0)+IF(ISNUMBER(F57),F57,0)+IF(ISNUMBER(F59),F59,0)</f>
        <v>0</v>
      </c>
      <c r="R43">
        <f>P43-Q43</f>
        <v>0</v>
      </c>
      <c r="S43">
        <f>M43*3+N43</f>
        <v>0</v>
      </c>
      <c r="T43">
        <f>S43*1000000 + (R43+100)*1000 + P43 + (ROW()/10000)</f>
        <v>100000.0043</v>
      </c>
    </row>
    <row r="44" spans="1:20" x14ac:dyDescent="0.25">
      <c r="J44" t="s">
        <v>114</v>
      </c>
      <c r="K44" t="s">
        <v>117</v>
      </c>
      <c r="L44">
        <f>IF(ISNUMBER(D55),1,0)+IF(ISNUMBER(F56),1,0)+IF(ISNUMBER(F59),1,0)</f>
        <v>0</v>
      </c>
      <c r="M44">
        <f>IF(AND(ISNUMBER(D55),ISNUMBER(F55),D55&gt;F55),1,0)+IF(AND(ISNUMBER(F56),ISNUMBER(D56),F56&gt;D56),1,0)+IF(AND(ISNUMBER(F59),ISNUMBER(D59),F59&gt;D59),1,0)</f>
        <v>0</v>
      </c>
      <c r="N44">
        <f>IF(AND(ISNUMBER(D55),ISNUMBER(F55),D55=F55),1,0)+IF(AND(ISNUMBER(F56),ISNUMBER(D56),F56=D56),1,0)+IF(AND(ISNUMBER(F59),ISNUMBER(D59),F59=D59),1,0)</f>
        <v>0</v>
      </c>
      <c r="O44">
        <f>IF(AND(ISNUMBER(D55),ISNUMBER(F55),D55&lt;F55),1,0)+IF(AND(ISNUMBER(F56),ISNUMBER(D56),F56&lt;D56),1,0)+IF(AND(ISNUMBER(F59),ISNUMBER(D59),F59&lt;D59),1,0)</f>
        <v>0</v>
      </c>
      <c r="P44">
        <f>IF(ISNUMBER(D55),D55,0)+IF(ISNUMBER(F56),F56,0)+IF(ISNUMBER(F59),F59,0)</f>
        <v>0</v>
      </c>
      <c r="Q44">
        <f>IF(ISNUMBER(F55),F55,0)+IF(ISNUMBER(D56),D56,0)+IF(ISNUMBER(D59),D59,0)</f>
        <v>0</v>
      </c>
      <c r="R44">
        <f>P44-Q44</f>
        <v>0</v>
      </c>
      <c r="S44">
        <f>M44*3+N44</f>
        <v>0</v>
      </c>
      <c r="T44">
        <f>S44*1000000 + (R44+100)*1000 + P44 + (ROW()/10000)</f>
        <v>100000.00440000001</v>
      </c>
    </row>
    <row r="45" spans="1:20" ht="18.75" customHeight="1" x14ac:dyDescent="0.35">
      <c r="A45" s="12" t="s">
        <v>118</v>
      </c>
      <c r="B45" s="11"/>
      <c r="C45" s="11"/>
      <c r="D45" s="11"/>
      <c r="E45" s="11"/>
      <c r="F45" s="11"/>
      <c r="G45" s="11"/>
      <c r="H45" s="11"/>
      <c r="J45" t="s">
        <v>114</v>
      </c>
      <c r="K45" t="s">
        <v>119</v>
      </c>
      <c r="L45">
        <f>IF(ISNUMBER(F55),1,0)+IF(ISNUMBER(F57),1,0)+IF(ISNUMBER(D58),1,0)</f>
        <v>0</v>
      </c>
      <c r="M45">
        <f>IF(AND(ISNUMBER(F55),ISNUMBER(D55),F55&gt;D55),1,0)+IF(AND(ISNUMBER(F57),ISNUMBER(D57),F57&gt;D57),1,0)+IF(AND(ISNUMBER(D58),ISNUMBER(F58),D58&gt;F58),1,0)</f>
        <v>0</v>
      </c>
      <c r="N45">
        <f>IF(AND(ISNUMBER(F55),ISNUMBER(D55),F55=D55),1,0)+IF(AND(ISNUMBER(F57),ISNUMBER(D57),F57=D57),1,0)+IF(AND(ISNUMBER(D58),ISNUMBER(F58),D58=F58),1,0)</f>
        <v>0</v>
      </c>
      <c r="O45">
        <f>IF(AND(ISNUMBER(F55),ISNUMBER(D55),F55&lt;D55),1,0)+IF(AND(ISNUMBER(F57),ISNUMBER(D57),F57&lt;D57),1,0)+IF(AND(ISNUMBER(D58),ISNUMBER(F58),D58&lt;F58),1,0)</f>
        <v>0</v>
      </c>
      <c r="P45">
        <f>IF(ISNUMBER(F55),F55,0)+IF(ISNUMBER(F57),F57,0)+IF(ISNUMBER(D58),D58,0)</f>
        <v>0</v>
      </c>
      <c r="Q45">
        <f>IF(ISNUMBER(D55),D55,0)+IF(ISNUMBER(D57),D57,0)+IF(ISNUMBER(F58),F58,0)</f>
        <v>0</v>
      </c>
      <c r="R45">
        <f>P45-Q45</f>
        <v>0</v>
      </c>
      <c r="S45">
        <f>M45*3+N45</f>
        <v>0</v>
      </c>
      <c r="T45">
        <f>S45*1000000 + (R45+100)*1000 + P45 + (ROW()/10000)</f>
        <v>100000.0045</v>
      </c>
    </row>
    <row r="46" spans="1:20" x14ac:dyDescent="0.25">
      <c r="C46" s="4" t="s">
        <v>108</v>
      </c>
      <c r="D46" s="5"/>
      <c r="E46" s="6" t="s">
        <v>10</v>
      </c>
      <c r="F46" s="5"/>
      <c r="G46" s="7" t="s">
        <v>110</v>
      </c>
      <c r="H46" t="str">
        <f t="shared" ref="H46:H51" si="5">IF(AND(ISNUMBER(D46),ISNUMBER(F46)),"Ok","")</f>
        <v/>
      </c>
    </row>
    <row r="47" spans="1:20" ht="18.75" customHeight="1" x14ac:dyDescent="0.35">
      <c r="C47" s="4" t="s">
        <v>111</v>
      </c>
      <c r="D47" s="5"/>
      <c r="E47" s="6" t="s">
        <v>10</v>
      </c>
      <c r="F47" s="5"/>
      <c r="G47" s="7" t="s">
        <v>112</v>
      </c>
      <c r="H47" t="str">
        <f t="shared" si="5"/>
        <v/>
      </c>
      <c r="J47" s="12" t="s">
        <v>120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5">
      <c r="C48" s="4" t="s">
        <v>108</v>
      </c>
      <c r="D48" s="5"/>
      <c r="E48" s="6" t="s">
        <v>10</v>
      </c>
      <c r="F48" s="5"/>
      <c r="G48" s="7" t="s">
        <v>111</v>
      </c>
      <c r="H48" t="str">
        <f t="shared" si="5"/>
        <v/>
      </c>
      <c r="J48" t="s">
        <v>121</v>
      </c>
      <c r="K48" t="s">
        <v>122</v>
      </c>
      <c r="L48">
        <f>IF(ISNUMBER(D62),1,0)+IF(ISNUMBER(D64),1,0)+IF(ISNUMBER(F66),1,0)</f>
        <v>0</v>
      </c>
      <c r="M48">
        <f>IF(AND(ISNUMBER(D62),ISNUMBER(F62),D62&gt;F62),1,0)+IF(AND(ISNUMBER(D64),ISNUMBER(F64),D64&gt;F64),1,0)+IF(AND(ISNUMBER(F66),ISNUMBER(D66),F66&gt;D66),1,0)</f>
        <v>0</v>
      </c>
      <c r="N48">
        <f>IF(AND(ISNUMBER(D62),ISNUMBER(F62),D62=F62),1,0)+IF(AND(ISNUMBER(D64),ISNUMBER(F64),D64=F64),1,0)+IF(AND(ISNUMBER(F66),ISNUMBER(D66),F66=D66),1,0)</f>
        <v>0</v>
      </c>
      <c r="O48">
        <f>IF(AND(ISNUMBER(D62),ISNUMBER(F62),D62&lt;F62),1,0)+IF(AND(ISNUMBER(D64),ISNUMBER(F64),D64&lt;F64),1,0)+IF(AND(ISNUMBER(F66),ISNUMBER(D66),F66&lt;D66),1,0)</f>
        <v>0</v>
      </c>
      <c r="P48">
        <f>IF(ISNUMBER(D62),D62,0)+IF(ISNUMBER(D64),D64,0)+IF(ISNUMBER(F66),F66,0)</f>
        <v>0</v>
      </c>
      <c r="Q48">
        <f>IF(ISNUMBER(F62),F62,0)+IF(ISNUMBER(F64),F64,0)+IF(ISNUMBER(D66),D66,0)</f>
        <v>0</v>
      </c>
      <c r="R48">
        <f>P48-Q48</f>
        <v>0</v>
      </c>
      <c r="S48">
        <f>M48*3+N48</f>
        <v>0</v>
      </c>
      <c r="T48">
        <f>S48*1000000 + (R48+100)*1000 + P48 + (ROW()/10000)</f>
        <v>100000.0048</v>
      </c>
    </row>
    <row r="49" spans="1:20" x14ac:dyDescent="0.25">
      <c r="C49" s="4" t="s">
        <v>110</v>
      </c>
      <c r="D49" s="5"/>
      <c r="E49" s="6" t="s">
        <v>10</v>
      </c>
      <c r="F49" s="5"/>
      <c r="G49" s="7" t="s">
        <v>112</v>
      </c>
      <c r="H49" t="str">
        <f t="shared" si="5"/>
        <v/>
      </c>
      <c r="J49" t="s">
        <v>121</v>
      </c>
      <c r="K49" t="s">
        <v>123</v>
      </c>
      <c r="L49">
        <f>IF(ISNUMBER(F62),1,0)+IF(ISNUMBER(D65),1,0)+IF(ISNUMBER(D67),1,0)</f>
        <v>0</v>
      </c>
      <c r="M49">
        <f>IF(AND(ISNUMBER(F62),ISNUMBER(D62),F62&gt;D62),1,0)+IF(AND(ISNUMBER(D65),ISNUMBER(F65),D65&gt;F65),1,0)+IF(AND(ISNUMBER(D67),ISNUMBER(F67),D67&gt;F67),1,0)</f>
        <v>0</v>
      </c>
      <c r="N49">
        <f>IF(AND(ISNUMBER(F62),ISNUMBER(D62),F62=D62),1,0)+IF(AND(ISNUMBER(D65),ISNUMBER(F65),D65=F65),1,0)+IF(AND(ISNUMBER(D67),ISNUMBER(F67),D67=F67),1,0)</f>
        <v>0</v>
      </c>
      <c r="O49">
        <f>IF(AND(ISNUMBER(F62),ISNUMBER(D62),F62&lt;D62),1,0)+IF(AND(ISNUMBER(D65),ISNUMBER(F65),D65&lt;F65),1,0)+IF(AND(ISNUMBER(D67),ISNUMBER(F67),D67&lt;F67),1,0)</f>
        <v>0</v>
      </c>
      <c r="P49">
        <f>IF(ISNUMBER(F62),F62,0)+IF(ISNUMBER(D65),D65,0)+IF(ISNUMBER(D67),D67,0)</f>
        <v>0</v>
      </c>
      <c r="Q49">
        <f>IF(ISNUMBER(D62),D62,0)+IF(ISNUMBER(F65),F65,0)+IF(ISNUMBER(F67),F67,0)</f>
        <v>0</v>
      </c>
      <c r="R49">
        <f>P49-Q49</f>
        <v>0</v>
      </c>
      <c r="S49">
        <f>M49*3+N49</f>
        <v>0</v>
      </c>
      <c r="T49">
        <f>S49*1000000 + (R49+100)*1000 + P49 + (ROW()/10000)</f>
        <v>100000.0049</v>
      </c>
    </row>
    <row r="50" spans="1:20" x14ac:dyDescent="0.25">
      <c r="C50" s="4" t="s">
        <v>112</v>
      </c>
      <c r="D50" s="5"/>
      <c r="E50" s="6" t="s">
        <v>10</v>
      </c>
      <c r="F50" s="5"/>
      <c r="G50" s="7" t="s">
        <v>108</v>
      </c>
      <c r="H50" t="str">
        <f t="shared" si="5"/>
        <v/>
      </c>
      <c r="J50" t="s">
        <v>121</v>
      </c>
      <c r="K50" t="s">
        <v>124</v>
      </c>
      <c r="L50">
        <f>IF(ISNUMBER(D63),1,0)+IF(ISNUMBER(F64),1,0)+IF(ISNUMBER(F67),1,0)</f>
        <v>0</v>
      </c>
      <c r="M50">
        <f>IF(AND(ISNUMBER(D63),ISNUMBER(F63),D63&gt;F63),1,0)+IF(AND(ISNUMBER(F64),ISNUMBER(D64),F64&gt;D64),1,0)+IF(AND(ISNUMBER(F67),ISNUMBER(D67),F67&gt;D67),1,0)</f>
        <v>0</v>
      </c>
      <c r="N50">
        <f>IF(AND(ISNUMBER(D63),ISNUMBER(F63),D63=F63),1,0)+IF(AND(ISNUMBER(F64),ISNUMBER(D64),F64=D64),1,0)+IF(AND(ISNUMBER(F67),ISNUMBER(D67),F67=D67),1,0)</f>
        <v>0</v>
      </c>
      <c r="O50">
        <f>IF(AND(ISNUMBER(D63),ISNUMBER(F63),D63&lt;F63),1,0)+IF(AND(ISNUMBER(F64),ISNUMBER(D64),F64&lt;D64),1,0)+IF(AND(ISNUMBER(F67),ISNUMBER(D67),F67&lt;D67),1,0)</f>
        <v>0</v>
      </c>
      <c r="P50">
        <f>IF(ISNUMBER(D63),D63,0)+IF(ISNUMBER(F64),F64,0)+IF(ISNUMBER(F67),F67,0)</f>
        <v>0</v>
      </c>
      <c r="Q50">
        <f>IF(ISNUMBER(F63),F63,0)+IF(ISNUMBER(D64),D64,0)+IF(ISNUMBER(D67),D67,0)</f>
        <v>0</v>
      </c>
      <c r="R50">
        <f>P50-Q50</f>
        <v>0</v>
      </c>
      <c r="S50">
        <f>M50*3+N50</f>
        <v>0</v>
      </c>
      <c r="T50">
        <f>S50*1000000 + (R50+100)*1000 + P50 + (ROW()/10000)</f>
        <v>100000.005</v>
      </c>
    </row>
    <row r="51" spans="1:20" x14ac:dyDescent="0.25">
      <c r="C51" s="4" t="s">
        <v>110</v>
      </c>
      <c r="D51" s="5"/>
      <c r="E51" s="6" t="s">
        <v>10</v>
      </c>
      <c r="F51" s="5"/>
      <c r="G51" s="7" t="s">
        <v>111</v>
      </c>
      <c r="H51" t="str">
        <f t="shared" si="5"/>
        <v/>
      </c>
      <c r="J51" t="s">
        <v>121</v>
      </c>
      <c r="K51" t="s">
        <v>125</v>
      </c>
      <c r="L51">
        <f>IF(ISNUMBER(F63),1,0)+IF(ISNUMBER(F65),1,0)+IF(ISNUMBER(D66),1,0)</f>
        <v>0</v>
      </c>
      <c r="M51">
        <f>IF(AND(ISNUMBER(F63),ISNUMBER(D63),F63&gt;D63),1,0)+IF(AND(ISNUMBER(F65),ISNUMBER(D65),F65&gt;D65),1,0)+IF(AND(ISNUMBER(D66),ISNUMBER(F66),D66&gt;F66),1,0)</f>
        <v>0</v>
      </c>
      <c r="N51">
        <f>IF(AND(ISNUMBER(F63),ISNUMBER(D63),F63=D63),1,0)+IF(AND(ISNUMBER(F65),ISNUMBER(D65),F65=D65),1,0)+IF(AND(ISNUMBER(D66),ISNUMBER(F66),D66=F66),1,0)</f>
        <v>0</v>
      </c>
      <c r="O51">
        <f>IF(AND(ISNUMBER(F63),ISNUMBER(D63),F63&lt;D63),1,0)+IF(AND(ISNUMBER(F65),ISNUMBER(D65),F65&lt;D65),1,0)+IF(AND(ISNUMBER(D66),ISNUMBER(F66),D66&lt;F66),1,0)</f>
        <v>0</v>
      </c>
      <c r="P51">
        <f>IF(ISNUMBER(F63),F63,0)+IF(ISNUMBER(F65),F65,0)+IF(ISNUMBER(D66),D66,0)</f>
        <v>0</v>
      </c>
      <c r="Q51">
        <f>IF(ISNUMBER(D63),D63,0)+IF(ISNUMBER(D65),D65,0)+IF(ISNUMBER(F66),F66,0)</f>
        <v>0</v>
      </c>
      <c r="R51">
        <f>P51-Q51</f>
        <v>0</v>
      </c>
      <c r="S51">
        <f>M51*3+N51</f>
        <v>0</v>
      </c>
      <c r="T51">
        <f>S51*1000000 + (R51+100)*1000 + P51 + (ROW()/10000)</f>
        <v>100000.00509999999</v>
      </c>
    </row>
    <row r="53" spans="1:20" ht="18.75" customHeight="1" x14ac:dyDescent="0.35">
      <c r="A53" s="12" t="s">
        <v>126</v>
      </c>
      <c r="B53" s="11"/>
      <c r="C53" s="11"/>
      <c r="D53" s="11"/>
      <c r="E53" s="11"/>
      <c r="F53" s="11"/>
      <c r="G53" s="11"/>
      <c r="H53" s="11"/>
      <c r="J53" s="12" t="s">
        <v>127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25">
      <c r="C54" s="4" t="s">
        <v>115</v>
      </c>
      <c r="D54" s="5"/>
      <c r="E54" s="6" t="s">
        <v>10</v>
      </c>
      <c r="F54" s="5"/>
      <c r="G54" s="7" t="s">
        <v>116</v>
      </c>
      <c r="H54" t="str">
        <f t="shared" ref="H54:H59" si="6">IF(AND(ISNUMBER(D54),ISNUMBER(F54)),"Ok","")</f>
        <v/>
      </c>
      <c r="J54" t="s">
        <v>128</v>
      </c>
      <c r="K54" t="s">
        <v>129</v>
      </c>
      <c r="L54">
        <f>IF(ISNUMBER(D70),1,0)+IF(ISNUMBER(D72),1,0)+IF(ISNUMBER(F74),1,0)</f>
        <v>0</v>
      </c>
      <c r="M54">
        <f>IF(AND(ISNUMBER(D70),ISNUMBER(F70),D70&gt;F70),1,0)+IF(AND(ISNUMBER(D72),ISNUMBER(F72),D72&gt;F72),1,0)+IF(AND(ISNUMBER(F74),ISNUMBER(D74),F74&gt;D74),1,0)</f>
        <v>0</v>
      </c>
      <c r="N54">
        <f>IF(AND(ISNUMBER(D70),ISNUMBER(F70),D70=F70),1,0)+IF(AND(ISNUMBER(D72),ISNUMBER(F72),D72=F72),1,0)+IF(AND(ISNUMBER(F74),ISNUMBER(D74),F74=D74),1,0)</f>
        <v>0</v>
      </c>
      <c r="O54">
        <f>IF(AND(ISNUMBER(D70),ISNUMBER(F70),D70&lt;F70),1,0)+IF(AND(ISNUMBER(D72),ISNUMBER(F72),D72&lt;F72),1,0)+IF(AND(ISNUMBER(F74),ISNUMBER(D74),F74&lt;D74),1,0)</f>
        <v>0</v>
      </c>
      <c r="P54">
        <f>IF(ISNUMBER(D70),D70,0)+IF(ISNUMBER(D72),D72,0)+IF(ISNUMBER(F74),F74,0)</f>
        <v>0</v>
      </c>
      <c r="Q54">
        <f>IF(ISNUMBER(F70),F70,0)+IF(ISNUMBER(F72),F72,0)+IF(ISNUMBER(D74),D74,0)</f>
        <v>0</v>
      </c>
      <c r="R54">
        <f>P54-Q54</f>
        <v>0</v>
      </c>
      <c r="S54">
        <f>M54*3+N54</f>
        <v>0</v>
      </c>
      <c r="T54">
        <f>S54*1000000 + (R54+100)*1000 + P54 + (ROW()/10000)</f>
        <v>100000.00539999999</v>
      </c>
    </row>
    <row r="55" spans="1:20" x14ac:dyDescent="0.25">
      <c r="C55" s="4" t="s">
        <v>117</v>
      </c>
      <c r="D55" s="5"/>
      <c r="E55" s="6" t="s">
        <v>10</v>
      </c>
      <c r="F55" s="5"/>
      <c r="G55" s="7" t="s">
        <v>119</v>
      </c>
      <c r="H55" t="str">
        <f t="shared" si="6"/>
        <v/>
      </c>
      <c r="J55" t="s">
        <v>128</v>
      </c>
      <c r="K55" t="s">
        <v>130</v>
      </c>
      <c r="L55">
        <f>IF(ISNUMBER(F70),1,0)+IF(ISNUMBER(D73),1,0)+IF(ISNUMBER(D75),1,0)</f>
        <v>0</v>
      </c>
      <c r="M55">
        <f>IF(AND(ISNUMBER(F70),ISNUMBER(D70),F70&gt;D70),1,0)+IF(AND(ISNUMBER(D73),ISNUMBER(F73),D73&gt;F73),1,0)+IF(AND(ISNUMBER(D75),ISNUMBER(F75),D75&gt;F75),1,0)</f>
        <v>0</v>
      </c>
      <c r="N55">
        <f>IF(AND(ISNUMBER(F70),ISNUMBER(D70),F70=D70),1,0)+IF(AND(ISNUMBER(D73),ISNUMBER(F73),D73=F73),1,0)+IF(AND(ISNUMBER(D75),ISNUMBER(F75),D75=F75),1,0)</f>
        <v>0</v>
      </c>
      <c r="O55">
        <f>IF(AND(ISNUMBER(F70),ISNUMBER(D70),F70&lt;D70),1,0)+IF(AND(ISNUMBER(D73),ISNUMBER(F73),D73&lt;F73),1,0)+IF(AND(ISNUMBER(D75),ISNUMBER(F75),D75&lt;F75),1,0)</f>
        <v>0</v>
      </c>
      <c r="P55">
        <f>IF(ISNUMBER(F70),F70,0)+IF(ISNUMBER(D73),D73,0)+IF(ISNUMBER(D75),D75,0)</f>
        <v>0</v>
      </c>
      <c r="Q55">
        <f>IF(ISNUMBER(D70),D70,0)+IF(ISNUMBER(F73),F73,0)+IF(ISNUMBER(F75),F75,0)</f>
        <v>0</v>
      </c>
      <c r="R55">
        <f>P55-Q55</f>
        <v>0</v>
      </c>
      <c r="S55">
        <f>M55*3+N55</f>
        <v>0</v>
      </c>
      <c r="T55">
        <f>S55*1000000 + (R55+100)*1000 + P55 + (ROW()/10000)</f>
        <v>100000.0055</v>
      </c>
    </row>
    <row r="56" spans="1:20" x14ac:dyDescent="0.25">
      <c r="C56" s="4" t="s">
        <v>115</v>
      </c>
      <c r="D56" s="5"/>
      <c r="E56" s="6" t="s">
        <v>10</v>
      </c>
      <c r="F56" s="5"/>
      <c r="G56" s="7" t="s">
        <v>117</v>
      </c>
      <c r="H56" t="str">
        <f t="shared" si="6"/>
        <v/>
      </c>
      <c r="J56" t="s">
        <v>128</v>
      </c>
      <c r="K56" t="s">
        <v>131</v>
      </c>
      <c r="L56">
        <f>IF(ISNUMBER(D71),1,0)+IF(ISNUMBER(F72),1,0)+IF(ISNUMBER(F75),1,0)</f>
        <v>0</v>
      </c>
      <c r="M56">
        <f>IF(AND(ISNUMBER(D71),ISNUMBER(F71),D71&gt;F71),1,0)+IF(AND(ISNUMBER(F72),ISNUMBER(D72),F72&gt;D72),1,0)+IF(AND(ISNUMBER(F75),ISNUMBER(D75),F75&gt;D75),1,0)</f>
        <v>0</v>
      </c>
      <c r="N56">
        <f>IF(AND(ISNUMBER(D71),ISNUMBER(F71),D71=F71),1,0)+IF(AND(ISNUMBER(F72),ISNUMBER(D72),F72=D72),1,0)+IF(AND(ISNUMBER(F75),ISNUMBER(D75),F75=D75),1,0)</f>
        <v>0</v>
      </c>
      <c r="O56">
        <f>IF(AND(ISNUMBER(D71),ISNUMBER(F71),D71&lt;F71),1,0)+IF(AND(ISNUMBER(F72),ISNUMBER(D72),F72&lt;D72),1,0)+IF(AND(ISNUMBER(F75),ISNUMBER(D75),F75&lt;D75),1,0)</f>
        <v>0</v>
      </c>
      <c r="P56">
        <f>IF(ISNUMBER(D71),D71,0)+IF(ISNUMBER(F72),F72,0)+IF(ISNUMBER(F75),F75,0)</f>
        <v>0</v>
      </c>
      <c r="Q56">
        <f>IF(ISNUMBER(F71),F71,0)+IF(ISNUMBER(D72),D72,0)+IF(ISNUMBER(D75),D75,0)</f>
        <v>0</v>
      </c>
      <c r="R56">
        <f>P56-Q56</f>
        <v>0</v>
      </c>
      <c r="S56">
        <f>M56*3+N56</f>
        <v>0</v>
      </c>
      <c r="T56">
        <f>S56*1000000 + (R56+100)*1000 + P56 + (ROW()/10000)</f>
        <v>100000.0056</v>
      </c>
    </row>
    <row r="57" spans="1:20" x14ac:dyDescent="0.25">
      <c r="C57" s="4" t="s">
        <v>116</v>
      </c>
      <c r="D57" s="5"/>
      <c r="E57" s="6" t="s">
        <v>10</v>
      </c>
      <c r="F57" s="5"/>
      <c r="G57" s="7" t="s">
        <v>119</v>
      </c>
      <c r="H57" t="str">
        <f t="shared" si="6"/>
        <v/>
      </c>
      <c r="J57" t="s">
        <v>128</v>
      </c>
      <c r="K57" t="s">
        <v>132</v>
      </c>
      <c r="L57">
        <f>IF(ISNUMBER(F71),1,0)+IF(ISNUMBER(F73),1,0)+IF(ISNUMBER(D74),1,0)</f>
        <v>0</v>
      </c>
      <c r="M57">
        <f>IF(AND(ISNUMBER(F71),ISNUMBER(D71),F71&gt;D71),1,0)+IF(AND(ISNUMBER(F73),ISNUMBER(D73),F73&gt;D73),1,0)+IF(AND(ISNUMBER(D74),ISNUMBER(F74),D74&gt;F74),1,0)</f>
        <v>0</v>
      </c>
      <c r="N57">
        <f>IF(AND(ISNUMBER(F71),ISNUMBER(D71),F71=D71),1,0)+IF(AND(ISNUMBER(F73),ISNUMBER(D73),F73=D73),1,0)+IF(AND(ISNUMBER(D74),ISNUMBER(F74),D74=F74),1,0)</f>
        <v>0</v>
      </c>
      <c r="O57">
        <f>IF(AND(ISNUMBER(F71),ISNUMBER(D71),F71&lt;D71),1,0)+IF(AND(ISNUMBER(F73),ISNUMBER(D73),F73&lt;D73),1,0)+IF(AND(ISNUMBER(D74),ISNUMBER(F74),D74&lt;F74),1,0)</f>
        <v>0</v>
      </c>
      <c r="P57">
        <f>IF(ISNUMBER(F71),F71,0)+IF(ISNUMBER(F73),F73,0)+IF(ISNUMBER(D74),D74,0)</f>
        <v>0</v>
      </c>
      <c r="Q57">
        <f>IF(ISNUMBER(D71),D71,0)+IF(ISNUMBER(D73),D73,0)+IF(ISNUMBER(F74),F74,0)</f>
        <v>0</v>
      </c>
      <c r="R57">
        <f>P57-Q57</f>
        <v>0</v>
      </c>
      <c r="S57">
        <f>M57*3+N57</f>
        <v>0</v>
      </c>
      <c r="T57">
        <f>S57*1000000 + (R57+100)*1000 + P57 + (ROW()/10000)</f>
        <v>100000.00569999999</v>
      </c>
    </row>
    <row r="58" spans="1:20" x14ac:dyDescent="0.25">
      <c r="C58" s="4" t="s">
        <v>119</v>
      </c>
      <c r="D58" s="5"/>
      <c r="E58" s="6" t="s">
        <v>10</v>
      </c>
      <c r="F58" s="5"/>
      <c r="G58" s="7" t="s">
        <v>115</v>
      </c>
      <c r="H58" t="str">
        <f t="shared" si="6"/>
        <v/>
      </c>
    </row>
    <row r="59" spans="1:20" ht="18.75" customHeight="1" x14ac:dyDescent="0.35">
      <c r="C59" s="4" t="s">
        <v>116</v>
      </c>
      <c r="D59" s="5"/>
      <c r="E59" s="6" t="s">
        <v>10</v>
      </c>
      <c r="F59" s="5"/>
      <c r="G59" s="7" t="s">
        <v>117</v>
      </c>
      <c r="H59" t="str">
        <f t="shared" si="6"/>
        <v/>
      </c>
      <c r="J59" s="12" t="s">
        <v>133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25">
      <c r="J60" t="s">
        <v>134</v>
      </c>
      <c r="K60" t="s">
        <v>135</v>
      </c>
      <c r="L60">
        <f>IF(ISNUMBER(D78),1,0)+IF(ISNUMBER(D80),1,0)+IF(ISNUMBER(F82),1,0)</f>
        <v>0</v>
      </c>
      <c r="M60">
        <f>IF(AND(ISNUMBER(D78),ISNUMBER(F78),D78&gt;F78),1,0)+IF(AND(ISNUMBER(D80),ISNUMBER(F80),D80&gt;F80),1,0)+IF(AND(ISNUMBER(F82),ISNUMBER(D82),F82&gt;D82),1,0)</f>
        <v>0</v>
      </c>
      <c r="N60">
        <f>IF(AND(ISNUMBER(D78),ISNUMBER(F78),D78=F78),1,0)+IF(AND(ISNUMBER(D80),ISNUMBER(F80),D80=F80),1,0)+IF(AND(ISNUMBER(F82),ISNUMBER(D82),F82=D82),1,0)</f>
        <v>0</v>
      </c>
      <c r="O60">
        <f>IF(AND(ISNUMBER(D78),ISNUMBER(F78),D78&lt;F78),1,0)+IF(AND(ISNUMBER(D80),ISNUMBER(F80),D80&lt;F80),1,0)+IF(AND(ISNUMBER(F82),ISNUMBER(D82),F82&lt;D82),1,0)</f>
        <v>0</v>
      </c>
      <c r="P60">
        <f>IF(ISNUMBER(D78),D78,0)+IF(ISNUMBER(D80),D80,0)+IF(ISNUMBER(F82),F82,0)</f>
        <v>0</v>
      </c>
      <c r="Q60">
        <f>IF(ISNUMBER(F78),F78,0)+IF(ISNUMBER(F80),F80,0)+IF(ISNUMBER(D82),D82,0)</f>
        <v>0</v>
      </c>
      <c r="R60">
        <f>P60-Q60</f>
        <v>0</v>
      </c>
      <c r="S60">
        <f>M60*3+N60</f>
        <v>0</v>
      </c>
      <c r="T60">
        <f>S60*1000000 + (R60+100)*1000 + P60 + (ROW()/10000)</f>
        <v>100000.00599999999</v>
      </c>
    </row>
    <row r="61" spans="1:20" ht="18.75" customHeight="1" x14ac:dyDescent="0.35">
      <c r="A61" s="12" t="s">
        <v>136</v>
      </c>
      <c r="B61" s="11"/>
      <c r="C61" s="11"/>
      <c r="D61" s="11"/>
      <c r="E61" s="11"/>
      <c r="F61" s="11"/>
      <c r="G61" s="11"/>
      <c r="H61" s="11"/>
      <c r="J61" t="s">
        <v>134</v>
      </c>
      <c r="K61" t="s">
        <v>137</v>
      </c>
      <c r="L61">
        <f>IF(ISNUMBER(F78),1,0)+IF(ISNUMBER(D81),1,0)+IF(ISNUMBER(D83),1,0)</f>
        <v>0</v>
      </c>
      <c r="M61">
        <f>IF(AND(ISNUMBER(F78),ISNUMBER(D78),F78&gt;D78),1,0)+IF(AND(ISNUMBER(D81),ISNUMBER(F81),D81&gt;F81),1,0)+IF(AND(ISNUMBER(D83),ISNUMBER(F83),D83&gt;F83),1,0)</f>
        <v>0</v>
      </c>
      <c r="N61">
        <f>IF(AND(ISNUMBER(F78),ISNUMBER(D78),F78=D78),1,0)+IF(AND(ISNUMBER(D81),ISNUMBER(F81),D81=F81),1,0)+IF(AND(ISNUMBER(D83),ISNUMBER(F83),D83=F83),1,0)</f>
        <v>0</v>
      </c>
      <c r="O61">
        <f>IF(AND(ISNUMBER(F78),ISNUMBER(D78),F78&lt;D78),1,0)+IF(AND(ISNUMBER(D81),ISNUMBER(F81),D81&lt;F81),1,0)+IF(AND(ISNUMBER(D83),ISNUMBER(F83),D83&lt;F83),1,0)</f>
        <v>0</v>
      </c>
      <c r="P61">
        <f>IF(ISNUMBER(F78),F78,0)+IF(ISNUMBER(D81),D81,0)+IF(ISNUMBER(D83),D83,0)</f>
        <v>0</v>
      </c>
      <c r="Q61">
        <f>IF(ISNUMBER(D78),D78,0)+IF(ISNUMBER(F81),F81,0)+IF(ISNUMBER(F83),F83,0)</f>
        <v>0</v>
      </c>
      <c r="R61">
        <f>P61-Q61</f>
        <v>0</v>
      </c>
      <c r="S61">
        <f>M61*3+N61</f>
        <v>0</v>
      </c>
      <c r="T61">
        <f>S61*1000000 + (R61+100)*1000 + P61 + (ROW()/10000)</f>
        <v>100000.0061</v>
      </c>
    </row>
    <row r="62" spans="1:20" x14ac:dyDescent="0.25">
      <c r="C62" s="4" t="s">
        <v>122</v>
      </c>
      <c r="D62" s="5"/>
      <c r="E62" s="6" t="s">
        <v>10</v>
      </c>
      <c r="F62" s="5"/>
      <c r="G62" s="7" t="s">
        <v>123</v>
      </c>
      <c r="H62" t="str">
        <f t="shared" ref="H62:H67" si="7">IF(AND(ISNUMBER(D62),ISNUMBER(F62)),"Ok","")</f>
        <v/>
      </c>
      <c r="J62" t="s">
        <v>134</v>
      </c>
      <c r="K62" t="s">
        <v>138</v>
      </c>
      <c r="L62">
        <f>IF(ISNUMBER(D79),1,0)+IF(ISNUMBER(F80),1,0)+IF(ISNUMBER(F83),1,0)</f>
        <v>0</v>
      </c>
      <c r="M62">
        <f>IF(AND(ISNUMBER(D79),ISNUMBER(F79),D79&gt;F79),1,0)+IF(AND(ISNUMBER(F80),ISNUMBER(D80),F80&gt;D80),1,0)+IF(AND(ISNUMBER(F83),ISNUMBER(D83),F83&gt;D83),1,0)</f>
        <v>0</v>
      </c>
      <c r="N62">
        <f>IF(AND(ISNUMBER(D79),ISNUMBER(F79),D79=F79),1,0)+IF(AND(ISNUMBER(F80),ISNUMBER(D80),F80=D80),1,0)+IF(AND(ISNUMBER(F83),ISNUMBER(D83),F83=D83),1,0)</f>
        <v>0</v>
      </c>
      <c r="O62">
        <f>IF(AND(ISNUMBER(D79),ISNUMBER(F79),D79&lt;F79),1,0)+IF(AND(ISNUMBER(F80),ISNUMBER(D80),F80&lt;D80),1,0)+IF(AND(ISNUMBER(F83),ISNUMBER(D83),F83&lt;D83),1,0)</f>
        <v>0</v>
      </c>
      <c r="P62">
        <f>IF(ISNUMBER(D79),D79,0)+IF(ISNUMBER(F80),F80,0)+IF(ISNUMBER(F83),F83,0)</f>
        <v>0</v>
      </c>
      <c r="Q62">
        <f>IF(ISNUMBER(F79),F79,0)+IF(ISNUMBER(D80),D80,0)+IF(ISNUMBER(D83),D83,0)</f>
        <v>0</v>
      </c>
      <c r="R62">
        <f>P62-Q62</f>
        <v>0</v>
      </c>
      <c r="S62">
        <f>M62*3+N62</f>
        <v>0</v>
      </c>
      <c r="T62">
        <f>S62*1000000 + (R62+100)*1000 + P62 + (ROW()/10000)</f>
        <v>100000.0062</v>
      </c>
    </row>
    <row r="63" spans="1:20" x14ac:dyDescent="0.25">
      <c r="C63" s="4" t="s">
        <v>124</v>
      </c>
      <c r="D63" s="5"/>
      <c r="E63" s="6" t="s">
        <v>10</v>
      </c>
      <c r="F63" s="5"/>
      <c r="G63" s="7" t="s">
        <v>125</v>
      </c>
      <c r="H63" t="str">
        <f t="shared" si="7"/>
        <v/>
      </c>
      <c r="J63" t="s">
        <v>134</v>
      </c>
      <c r="K63" t="s">
        <v>139</v>
      </c>
      <c r="L63">
        <f>IF(ISNUMBER(F79),1,0)+IF(ISNUMBER(F81),1,0)+IF(ISNUMBER(D82),1,0)</f>
        <v>0</v>
      </c>
      <c r="M63">
        <f>IF(AND(ISNUMBER(F79),ISNUMBER(D79),F79&gt;D79),1,0)+IF(AND(ISNUMBER(F81),ISNUMBER(D81),F81&gt;D81),1,0)+IF(AND(ISNUMBER(D82),ISNUMBER(F82),D82&gt;F82),1,0)</f>
        <v>0</v>
      </c>
      <c r="N63">
        <f>IF(AND(ISNUMBER(F79),ISNUMBER(D79),F79=D79),1,0)+IF(AND(ISNUMBER(F81),ISNUMBER(D81),F81=D81),1,0)+IF(AND(ISNUMBER(D82),ISNUMBER(F82),D82=F82),1,0)</f>
        <v>0</v>
      </c>
      <c r="O63">
        <f>IF(AND(ISNUMBER(F79),ISNUMBER(D79),F79&lt;D79),1,0)+IF(AND(ISNUMBER(F81),ISNUMBER(D81),F81&lt;D81),1,0)+IF(AND(ISNUMBER(D82),ISNUMBER(F82),D82&lt;F82),1,0)</f>
        <v>0</v>
      </c>
      <c r="P63">
        <f>IF(ISNUMBER(F79),F79,0)+IF(ISNUMBER(F81),F81,0)+IF(ISNUMBER(D82),D82,0)</f>
        <v>0</v>
      </c>
      <c r="Q63">
        <f>IF(ISNUMBER(D79),D79,0)+IF(ISNUMBER(D81),D81,0)+IF(ISNUMBER(F82),F82,0)</f>
        <v>0</v>
      </c>
      <c r="R63">
        <f>P63-Q63</f>
        <v>0</v>
      </c>
      <c r="S63">
        <f>M63*3+N63</f>
        <v>0</v>
      </c>
      <c r="T63">
        <f>S63*1000000 + (R63+100)*1000 + P63 + (ROW()/10000)</f>
        <v>100000.00629999999</v>
      </c>
    </row>
    <row r="64" spans="1:20" x14ac:dyDescent="0.25">
      <c r="C64" s="4" t="s">
        <v>122</v>
      </c>
      <c r="D64" s="5"/>
      <c r="E64" s="6" t="s">
        <v>10</v>
      </c>
      <c r="F64" s="5"/>
      <c r="G64" s="7" t="s">
        <v>124</v>
      </c>
      <c r="H64" t="str">
        <f t="shared" si="7"/>
        <v/>
      </c>
    </row>
    <row r="65" spans="1:20" ht="18.75" customHeight="1" x14ac:dyDescent="0.35">
      <c r="C65" s="4" t="s">
        <v>123</v>
      </c>
      <c r="D65" s="5"/>
      <c r="E65" s="6" t="s">
        <v>10</v>
      </c>
      <c r="F65" s="5"/>
      <c r="G65" s="7" t="s">
        <v>125</v>
      </c>
      <c r="H65" t="str">
        <f t="shared" si="7"/>
        <v/>
      </c>
      <c r="J65" s="12" t="s">
        <v>140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5">
      <c r="C66" s="4" t="s">
        <v>125</v>
      </c>
      <c r="D66" s="5"/>
      <c r="E66" s="6" t="s">
        <v>10</v>
      </c>
      <c r="F66" s="5"/>
      <c r="G66" s="7" t="s">
        <v>122</v>
      </c>
      <c r="H66" t="str">
        <f t="shared" si="7"/>
        <v/>
      </c>
      <c r="J66" t="s">
        <v>141</v>
      </c>
      <c r="K66" t="s">
        <v>142</v>
      </c>
      <c r="L66">
        <f>IF(ISNUMBER(D86),1,0)+IF(ISNUMBER(D88),1,0)+IF(ISNUMBER(F90),1,0)</f>
        <v>0</v>
      </c>
      <c r="M66">
        <f>IF(AND(ISNUMBER(D86),ISNUMBER(F86),D86&gt;F86),1,0)+IF(AND(ISNUMBER(D88),ISNUMBER(F88),D88&gt;F88),1,0)+IF(AND(ISNUMBER(F90),ISNUMBER(D90),F90&gt;D90),1,0)</f>
        <v>0</v>
      </c>
      <c r="N66">
        <f>IF(AND(ISNUMBER(D86),ISNUMBER(F86),D86=F86),1,0)+IF(AND(ISNUMBER(D88),ISNUMBER(F88),D88=F88),1,0)+IF(AND(ISNUMBER(F90),ISNUMBER(D90),F90=D90),1,0)</f>
        <v>0</v>
      </c>
      <c r="O66">
        <f>IF(AND(ISNUMBER(D86),ISNUMBER(F86),D86&lt;F86),1,0)+IF(AND(ISNUMBER(D88),ISNUMBER(F88),D88&lt;F88),1,0)+IF(AND(ISNUMBER(F90),ISNUMBER(D90),F90&lt;D90),1,0)</f>
        <v>0</v>
      </c>
      <c r="P66">
        <f>IF(ISNUMBER(D86),D86,0)+IF(ISNUMBER(D88),D88,0)+IF(ISNUMBER(F90),F90,0)</f>
        <v>0</v>
      </c>
      <c r="Q66">
        <f>IF(ISNUMBER(F86),F86,0)+IF(ISNUMBER(F88),F88,0)+IF(ISNUMBER(D90),D90,0)</f>
        <v>0</v>
      </c>
      <c r="R66">
        <f>P66-Q66</f>
        <v>0</v>
      </c>
      <c r="S66">
        <f>M66*3+N66</f>
        <v>0</v>
      </c>
      <c r="T66">
        <f>S66*1000000 + (R66+100)*1000 + P66 + (ROW()/10000)</f>
        <v>100000.00659999999</v>
      </c>
    </row>
    <row r="67" spans="1:20" x14ac:dyDescent="0.25">
      <c r="C67" s="4" t="s">
        <v>123</v>
      </c>
      <c r="D67" s="5"/>
      <c r="E67" s="6" t="s">
        <v>10</v>
      </c>
      <c r="F67" s="5"/>
      <c r="G67" s="7" t="s">
        <v>124</v>
      </c>
      <c r="H67" t="str">
        <f t="shared" si="7"/>
        <v/>
      </c>
      <c r="J67" t="s">
        <v>141</v>
      </c>
      <c r="K67" t="s">
        <v>143</v>
      </c>
      <c r="L67">
        <f>IF(ISNUMBER(F86),1,0)+IF(ISNUMBER(D89),1,0)+IF(ISNUMBER(D91),1,0)</f>
        <v>0</v>
      </c>
      <c r="M67">
        <f>IF(AND(ISNUMBER(F86),ISNUMBER(D86),F86&gt;D86),1,0)+IF(AND(ISNUMBER(D89),ISNUMBER(F89),D89&gt;F89),1,0)+IF(AND(ISNUMBER(D91),ISNUMBER(F91),D91&gt;F91),1,0)</f>
        <v>0</v>
      </c>
      <c r="N67">
        <f>IF(AND(ISNUMBER(F86),ISNUMBER(D86),F86=D86),1,0)+IF(AND(ISNUMBER(D89),ISNUMBER(F89),D89=F89),1,0)+IF(AND(ISNUMBER(D91),ISNUMBER(F91),D91=F91),1,0)</f>
        <v>0</v>
      </c>
      <c r="O67">
        <f>IF(AND(ISNUMBER(F86),ISNUMBER(D86),F86&lt;D86),1,0)+IF(AND(ISNUMBER(D89),ISNUMBER(F89),D89&lt;F89),1,0)+IF(AND(ISNUMBER(D91),ISNUMBER(F91),D91&lt;F91),1,0)</f>
        <v>0</v>
      </c>
      <c r="P67">
        <f>IF(ISNUMBER(F86),F86,0)+IF(ISNUMBER(D89),D89,0)+IF(ISNUMBER(D91),D91,0)</f>
        <v>0</v>
      </c>
      <c r="Q67">
        <f>IF(ISNUMBER(D86),D86,0)+IF(ISNUMBER(F89),F89,0)+IF(ISNUMBER(F91),F91,0)</f>
        <v>0</v>
      </c>
      <c r="R67">
        <f>P67-Q67</f>
        <v>0</v>
      </c>
      <c r="S67">
        <f>M67*3+N67</f>
        <v>0</v>
      </c>
      <c r="T67">
        <f>S67*1000000 + (R67+100)*1000 + P67 + (ROW()/10000)</f>
        <v>100000.0067</v>
      </c>
    </row>
    <row r="68" spans="1:20" x14ac:dyDescent="0.25">
      <c r="J68" t="s">
        <v>141</v>
      </c>
      <c r="K68" t="s">
        <v>144</v>
      </c>
      <c r="L68">
        <f>IF(ISNUMBER(D87),1,0)+IF(ISNUMBER(F88),1,0)+IF(ISNUMBER(F91),1,0)</f>
        <v>0</v>
      </c>
      <c r="M68">
        <f>IF(AND(ISNUMBER(D87),ISNUMBER(F87),D87&gt;F87),1,0)+IF(AND(ISNUMBER(F88),ISNUMBER(D88),F88&gt;D88),1,0)+IF(AND(ISNUMBER(F91),ISNUMBER(D91),F91&gt;D91),1,0)</f>
        <v>0</v>
      </c>
      <c r="N68">
        <f>IF(AND(ISNUMBER(D87),ISNUMBER(F87),D87=F87),1,0)+IF(AND(ISNUMBER(F88),ISNUMBER(D88),F88=D88),1,0)+IF(AND(ISNUMBER(F91),ISNUMBER(D91),F91=D91),1,0)</f>
        <v>0</v>
      </c>
      <c r="O68">
        <f>IF(AND(ISNUMBER(D87),ISNUMBER(F87),D87&lt;F87),1,0)+IF(AND(ISNUMBER(F88),ISNUMBER(D88),F88&lt;D88),1,0)+IF(AND(ISNUMBER(F91),ISNUMBER(D91),F91&lt;D91),1,0)</f>
        <v>0</v>
      </c>
      <c r="P68">
        <f>IF(ISNUMBER(D87),D87,0)+IF(ISNUMBER(F88),F88,0)+IF(ISNUMBER(F91),F91,0)</f>
        <v>0</v>
      </c>
      <c r="Q68">
        <f>IF(ISNUMBER(F87),F87,0)+IF(ISNUMBER(D88),D88,0)+IF(ISNUMBER(D91),D91,0)</f>
        <v>0</v>
      </c>
      <c r="R68">
        <f>P68-Q68</f>
        <v>0</v>
      </c>
      <c r="S68">
        <f>M68*3+N68</f>
        <v>0</v>
      </c>
      <c r="T68">
        <f>S68*1000000 + (R68+100)*1000 + P68 + (ROW()/10000)</f>
        <v>100000.0068</v>
      </c>
    </row>
    <row r="69" spans="1:20" ht="18.75" customHeight="1" x14ac:dyDescent="0.35">
      <c r="A69" s="12" t="s">
        <v>145</v>
      </c>
      <c r="B69" s="11"/>
      <c r="C69" s="11"/>
      <c r="D69" s="11"/>
      <c r="E69" s="11"/>
      <c r="F69" s="11"/>
      <c r="G69" s="11"/>
      <c r="H69" s="11"/>
      <c r="J69" t="s">
        <v>141</v>
      </c>
      <c r="K69" t="s">
        <v>146</v>
      </c>
      <c r="L69">
        <f>IF(ISNUMBER(F87),1,0)+IF(ISNUMBER(F89),1,0)+IF(ISNUMBER(D90),1,0)</f>
        <v>0</v>
      </c>
      <c r="M69">
        <f>IF(AND(ISNUMBER(F87),ISNUMBER(D87),F87&gt;D87),1,0)+IF(AND(ISNUMBER(F89),ISNUMBER(D89),F89&gt;D89),1,0)+IF(AND(ISNUMBER(D90),ISNUMBER(F90),D90&gt;F90),1,0)</f>
        <v>0</v>
      </c>
      <c r="N69">
        <f>IF(AND(ISNUMBER(F87),ISNUMBER(D87),F87=D87),1,0)+IF(AND(ISNUMBER(F89),ISNUMBER(D89),F89=D89),1,0)+IF(AND(ISNUMBER(D90),ISNUMBER(F90),D90=F90),1,0)</f>
        <v>0</v>
      </c>
      <c r="O69">
        <f>IF(AND(ISNUMBER(F87),ISNUMBER(D87),F87&lt;D87),1,0)+IF(AND(ISNUMBER(F89),ISNUMBER(D89),F89&lt;D89),1,0)+IF(AND(ISNUMBER(D90),ISNUMBER(F90),D90&lt;F90),1,0)</f>
        <v>0</v>
      </c>
      <c r="P69">
        <f>IF(ISNUMBER(F87),F87,0)+IF(ISNUMBER(F89),F89,0)+IF(ISNUMBER(D90),D90,0)</f>
        <v>0</v>
      </c>
      <c r="Q69">
        <f>IF(ISNUMBER(D87),D87,0)+IF(ISNUMBER(D89),D89,0)+IF(ISNUMBER(F90),F90,0)</f>
        <v>0</v>
      </c>
      <c r="R69">
        <f>P69-Q69</f>
        <v>0</v>
      </c>
      <c r="S69">
        <f>M69*3+N69</f>
        <v>0</v>
      </c>
      <c r="T69">
        <f>S69*1000000 + (R69+100)*1000 + P69 + (ROW()/10000)</f>
        <v>100000.00689999999</v>
      </c>
    </row>
    <row r="70" spans="1:20" x14ac:dyDescent="0.25">
      <c r="C70" s="4" t="s">
        <v>129</v>
      </c>
      <c r="D70" s="5"/>
      <c r="E70" s="6" t="s">
        <v>10</v>
      </c>
      <c r="F70" s="5"/>
      <c r="G70" s="7" t="s">
        <v>130</v>
      </c>
      <c r="H70" t="str">
        <f t="shared" ref="H70:H75" si="8">IF(AND(ISNUMBER(D70),ISNUMBER(F70)),"Ok","")</f>
        <v/>
      </c>
    </row>
    <row r="71" spans="1:20" ht="18.75" customHeight="1" x14ac:dyDescent="0.35">
      <c r="C71" s="4" t="s">
        <v>131</v>
      </c>
      <c r="D71" s="5"/>
      <c r="E71" s="6" t="s">
        <v>10</v>
      </c>
      <c r="F71" s="5"/>
      <c r="G71" s="7" t="s">
        <v>132</v>
      </c>
      <c r="H71" t="str">
        <f t="shared" si="8"/>
        <v/>
      </c>
      <c r="J71" s="12" t="s">
        <v>147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5">
      <c r="C72" s="4" t="s">
        <v>129</v>
      </c>
      <c r="D72" s="5"/>
      <c r="E72" s="6" t="s">
        <v>10</v>
      </c>
      <c r="F72" s="5"/>
      <c r="G72" s="7" t="s">
        <v>131</v>
      </c>
      <c r="H72" t="str">
        <f t="shared" si="8"/>
        <v/>
      </c>
      <c r="J72" t="s">
        <v>148</v>
      </c>
      <c r="K72" t="s">
        <v>149</v>
      </c>
      <c r="L72">
        <f>IF(ISNUMBER(D94),1,0)+IF(ISNUMBER(D96),1,0)+IF(ISNUMBER(F98),1,0)</f>
        <v>0</v>
      </c>
      <c r="M72">
        <f>IF(AND(ISNUMBER(D94),ISNUMBER(F94),D94&gt;F94),1,0)+IF(AND(ISNUMBER(D96),ISNUMBER(F96),D96&gt;F96),1,0)+IF(AND(ISNUMBER(F98),ISNUMBER(D98),F98&gt;D98),1,0)</f>
        <v>0</v>
      </c>
      <c r="N72">
        <f>IF(AND(ISNUMBER(D94),ISNUMBER(F94),D94=F94),1,0)+IF(AND(ISNUMBER(D96),ISNUMBER(F96),D96=F96),1,0)+IF(AND(ISNUMBER(F98),ISNUMBER(D98),F98=D98),1,0)</f>
        <v>0</v>
      </c>
      <c r="O72">
        <f>IF(AND(ISNUMBER(D94),ISNUMBER(F94),D94&lt;F94),1,0)+IF(AND(ISNUMBER(D96),ISNUMBER(F96),D96&lt;F96),1,0)+IF(AND(ISNUMBER(F98),ISNUMBER(D98),F98&lt;D98),1,0)</f>
        <v>0</v>
      </c>
      <c r="P72">
        <f>IF(ISNUMBER(D94),D94,0)+IF(ISNUMBER(D96),D96,0)+IF(ISNUMBER(F98),F98,0)</f>
        <v>0</v>
      </c>
      <c r="Q72">
        <f>IF(ISNUMBER(F94),F94,0)+IF(ISNUMBER(F96),F96,0)+IF(ISNUMBER(D98),D98,0)</f>
        <v>0</v>
      </c>
      <c r="R72">
        <f>P72-Q72</f>
        <v>0</v>
      </c>
      <c r="S72">
        <f>M72*3+N72</f>
        <v>0</v>
      </c>
      <c r="T72">
        <f>S72*1000000 + (R72+100)*1000 + P72 + (ROW()/10000)</f>
        <v>100000.00719999999</v>
      </c>
    </row>
    <row r="73" spans="1:20" x14ac:dyDescent="0.25">
      <c r="C73" s="4" t="s">
        <v>130</v>
      </c>
      <c r="D73" s="5"/>
      <c r="E73" s="6" t="s">
        <v>10</v>
      </c>
      <c r="F73" s="5"/>
      <c r="G73" s="7" t="s">
        <v>132</v>
      </c>
      <c r="H73" t="str">
        <f t="shared" si="8"/>
        <v/>
      </c>
      <c r="J73" t="s">
        <v>148</v>
      </c>
      <c r="K73" t="s">
        <v>150</v>
      </c>
      <c r="L73">
        <f>IF(ISNUMBER(F94),1,0)+IF(ISNUMBER(D97),1,0)+IF(ISNUMBER(D99),1,0)</f>
        <v>0</v>
      </c>
      <c r="M73">
        <f>IF(AND(ISNUMBER(F94),ISNUMBER(D94),F94&gt;D94),1,0)+IF(AND(ISNUMBER(D97),ISNUMBER(F97),D97&gt;F97),1,0)+IF(AND(ISNUMBER(D99),ISNUMBER(F99),D99&gt;F99),1,0)</f>
        <v>0</v>
      </c>
      <c r="N73">
        <f>IF(AND(ISNUMBER(F94),ISNUMBER(D94),F94=D94),1,0)+IF(AND(ISNUMBER(D97),ISNUMBER(F97),D97=F97),1,0)+IF(AND(ISNUMBER(D99),ISNUMBER(F99),D99=F99),1,0)</f>
        <v>0</v>
      </c>
      <c r="O73">
        <f>IF(AND(ISNUMBER(F94),ISNUMBER(D94),F94&lt;D94),1,0)+IF(AND(ISNUMBER(D97),ISNUMBER(F97),D97&lt;F97),1,0)+IF(AND(ISNUMBER(D99),ISNUMBER(F99),D99&lt;F99),1,0)</f>
        <v>0</v>
      </c>
      <c r="P73">
        <f>IF(ISNUMBER(F94),F94,0)+IF(ISNUMBER(D97),D97,0)+IF(ISNUMBER(D99),D99,0)</f>
        <v>0</v>
      </c>
      <c r="Q73">
        <f>IF(ISNUMBER(D94),D94,0)+IF(ISNUMBER(F97),F97,0)+IF(ISNUMBER(F99),F99,0)</f>
        <v>0</v>
      </c>
      <c r="R73">
        <f>P73-Q73</f>
        <v>0</v>
      </c>
      <c r="S73">
        <f>M73*3+N73</f>
        <v>0</v>
      </c>
      <c r="T73">
        <f>S73*1000000 + (R73+100)*1000 + P73 + (ROW()/10000)</f>
        <v>100000.0073</v>
      </c>
    </row>
    <row r="74" spans="1:20" x14ac:dyDescent="0.25">
      <c r="C74" s="4" t="s">
        <v>132</v>
      </c>
      <c r="D74" s="5"/>
      <c r="E74" s="6" t="s">
        <v>10</v>
      </c>
      <c r="F74" s="5"/>
      <c r="G74" s="7" t="s">
        <v>129</v>
      </c>
      <c r="H74" t="str">
        <f t="shared" si="8"/>
        <v/>
      </c>
      <c r="J74" t="s">
        <v>148</v>
      </c>
      <c r="K74" t="s">
        <v>151</v>
      </c>
      <c r="L74">
        <f>IF(ISNUMBER(D95),1,0)+IF(ISNUMBER(F96),1,0)+IF(ISNUMBER(F99),1,0)</f>
        <v>0</v>
      </c>
      <c r="M74">
        <f>IF(AND(ISNUMBER(D95),ISNUMBER(F95),D95&gt;F95),1,0)+IF(AND(ISNUMBER(F96),ISNUMBER(D96),F96&gt;D96),1,0)+IF(AND(ISNUMBER(F99),ISNUMBER(D99),F99&gt;D99),1,0)</f>
        <v>0</v>
      </c>
      <c r="N74">
        <f>IF(AND(ISNUMBER(D95),ISNUMBER(F95),D95=F95),1,0)+IF(AND(ISNUMBER(F96),ISNUMBER(D96),F96=D96),1,0)+IF(AND(ISNUMBER(F99),ISNUMBER(D99),F99=D99),1,0)</f>
        <v>0</v>
      </c>
      <c r="O74">
        <f>IF(AND(ISNUMBER(D95),ISNUMBER(F95),D95&lt;F95),1,0)+IF(AND(ISNUMBER(F96),ISNUMBER(D96),F96&lt;D96),1,0)+IF(AND(ISNUMBER(F99),ISNUMBER(D99),F99&lt;D99),1,0)</f>
        <v>0</v>
      </c>
      <c r="P74">
        <f>IF(ISNUMBER(D95),D95,0)+IF(ISNUMBER(F96),F96,0)+IF(ISNUMBER(F99),F99,0)</f>
        <v>0</v>
      </c>
      <c r="Q74">
        <f>IF(ISNUMBER(F95),F95,0)+IF(ISNUMBER(D96),D96,0)+IF(ISNUMBER(D99),D99,0)</f>
        <v>0</v>
      </c>
      <c r="R74">
        <f>P74-Q74</f>
        <v>0</v>
      </c>
      <c r="S74">
        <f>M74*3+N74</f>
        <v>0</v>
      </c>
      <c r="T74">
        <f>S74*1000000 + (R74+100)*1000 + P74 + (ROW()/10000)</f>
        <v>100000.0074</v>
      </c>
    </row>
    <row r="75" spans="1:20" x14ac:dyDescent="0.25">
      <c r="C75" s="4" t="s">
        <v>130</v>
      </c>
      <c r="D75" s="5"/>
      <c r="E75" s="6" t="s">
        <v>10</v>
      </c>
      <c r="F75" s="5"/>
      <c r="G75" s="7" t="s">
        <v>131</v>
      </c>
      <c r="H75" t="str">
        <f t="shared" si="8"/>
        <v/>
      </c>
      <c r="J75" t="s">
        <v>148</v>
      </c>
      <c r="K75" t="s">
        <v>152</v>
      </c>
      <c r="L75">
        <f>IF(ISNUMBER(F95),1,0)+IF(ISNUMBER(F97),1,0)+IF(ISNUMBER(D98),1,0)</f>
        <v>0</v>
      </c>
      <c r="M75">
        <f>IF(AND(ISNUMBER(F95),ISNUMBER(D95),F95&gt;D95),1,0)+IF(AND(ISNUMBER(F97),ISNUMBER(D97),F97&gt;D97),1,0)+IF(AND(ISNUMBER(D98),ISNUMBER(F98),D98&gt;F98),1,0)</f>
        <v>0</v>
      </c>
      <c r="N75">
        <f>IF(AND(ISNUMBER(F95),ISNUMBER(D95),F95=D95),1,0)+IF(AND(ISNUMBER(F97),ISNUMBER(D97),F97=D97),1,0)+IF(AND(ISNUMBER(D98),ISNUMBER(F98),D98=F98),1,0)</f>
        <v>0</v>
      </c>
      <c r="O75">
        <f>IF(AND(ISNUMBER(F95),ISNUMBER(D95),F95&lt;D95),1,0)+IF(AND(ISNUMBER(F97),ISNUMBER(D97),F97&lt;D97),1,0)+IF(AND(ISNUMBER(D98),ISNUMBER(F98),D98&lt;F98),1,0)</f>
        <v>0</v>
      </c>
      <c r="P75">
        <f>IF(ISNUMBER(F95),F95,0)+IF(ISNUMBER(F97),F97,0)+IF(ISNUMBER(D98),D98,0)</f>
        <v>0</v>
      </c>
      <c r="Q75">
        <f>IF(ISNUMBER(D95),D95,0)+IF(ISNUMBER(D97),D97,0)+IF(ISNUMBER(F98),F98,0)</f>
        <v>0</v>
      </c>
      <c r="R75">
        <f>P75-Q75</f>
        <v>0</v>
      </c>
      <c r="S75">
        <f>M75*3+N75</f>
        <v>0</v>
      </c>
      <c r="T75">
        <f>S75*1000000 + (R75+100)*1000 + P75 + (ROW()/10000)</f>
        <v>100000.00750000001</v>
      </c>
    </row>
    <row r="77" spans="1:20" ht="18.75" customHeight="1" x14ac:dyDescent="0.35">
      <c r="A77" s="12" t="s">
        <v>153</v>
      </c>
      <c r="B77" s="11"/>
      <c r="C77" s="11"/>
      <c r="D77" s="11"/>
      <c r="E77" s="11"/>
      <c r="F77" s="11"/>
      <c r="G77" s="11"/>
      <c r="H77" s="11"/>
    </row>
    <row r="78" spans="1:20" x14ac:dyDescent="0.25">
      <c r="C78" s="4" t="s">
        <v>135</v>
      </c>
      <c r="D78" s="5"/>
      <c r="E78" s="6" t="s">
        <v>10</v>
      </c>
      <c r="F78" s="5"/>
      <c r="G78" s="7" t="s">
        <v>137</v>
      </c>
      <c r="H78" t="str">
        <f t="shared" ref="H78:H83" si="9">IF(AND(ISNUMBER(D78),ISNUMBER(F78)),"Ok","")</f>
        <v/>
      </c>
    </row>
    <row r="79" spans="1:20" x14ac:dyDescent="0.25">
      <c r="C79" s="4" t="s">
        <v>138</v>
      </c>
      <c r="D79" s="5"/>
      <c r="E79" s="6" t="s">
        <v>10</v>
      </c>
      <c r="F79" s="5"/>
      <c r="G79" s="7" t="s">
        <v>139</v>
      </c>
      <c r="H79" t="str">
        <f t="shared" si="9"/>
        <v/>
      </c>
    </row>
    <row r="80" spans="1:20" x14ac:dyDescent="0.25">
      <c r="C80" s="4" t="s">
        <v>135</v>
      </c>
      <c r="D80" s="5"/>
      <c r="E80" s="6" t="s">
        <v>10</v>
      </c>
      <c r="F80" s="5"/>
      <c r="G80" s="7" t="s">
        <v>138</v>
      </c>
      <c r="H80" t="str">
        <f t="shared" si="9"/>
        <v/>
      </c>
    </row>
    <row r="81" spans="1:8" x14ac:dyDescent="0.25">
      <c r="C81" s="4" t="s">
        <v>137</v>
      </c>
      <c r="D81" s="5"/>
      <c r="E81" s="6" t="s">
        <v>10</v>
      </c>
      <c r="F81" s="5"/>
      <c r="G81" s="7" t="s">
        <v>139</v>
      </c>
      <c r="H81" t="str">
        <f t="shared" si="9"/>
        <v/>
      </c>
    </row>
    <row r="82" spans="1:8" x14ac:dyDescent="0.25">
      <c r="C82" s="4" t="s">
        <v>139</v>
      </c>
      <c r="D82" s="5"/>
      <c r="E82" s="6" t="s">
        <v>10</v>
      </c>
      <c r="F82" s="5"/>
      <c r="G82" s="7" t="s">
        <v>135</v>
      </c>
      <c r="H82" t="str">
        <f t="shared" si="9"/>
        <v/>
      </c>
    </row>
    <row r="83" spans="1:8" x14ac:dyDescent="0.25">
      <c r="C83" s="4" t="s">
        <v>137</v>
      </c>
      <c r="D83" s="5"/>
      <c r="E83" s="6" t="s">
        <v>10</v>
      </c>
      <c r="F83" s="5"/>
      <c r="G83" s="7" t="s">
        <v>138</v>
      </c>
      <c r="H83" t="str">
        <f t="shared" si="9"/>
        <v/>
      </c>
    </row>
    <row r="85" spans="1:8" ht="18.75" customHeight="1" x14ac:dyDescent="0.35">
      <c r="A85" s="12" t="s">
        <v>154</v>
      </c>
      <c r="B85" s="11"/>
      <c r="C85" s="11"/>
      <c r="D85" s="11"/>
      <c r="E85" s="11"/>
      <c r="F85" s="11"/>
      <c r="G85" s="11"/>
      <c r="H85" s="11"/>
    </row>
    <row r="86" spans="1:8" x14ac:dyDescent="0.25">
      <c r="C86" s="4" t="s">
        <v>142</v>
      </c>
      <c r="D86" s="5"/>
      <c r="E86" s="6" t="s">
        <v>10</v>
      </c>
      <c r="F86" s="5"/>
      <c r="G86" s="7" t="s">
        <v>143</v>
      </c>
      <c r="H86" t="str">
        <f t="shared" ref="H86:H91" si="10">IF(AND(ISNUMBER(D86),ISNUMBER(F86)),"Ok","")</f>
        <v/>
      </c>
    </row>
    <row r="87" spans="1:8" x14ac:dyDescent="0.25">
      <c r="C87" s="4" t="s">
        <v>144</v>
      </c>
      <c r="D87" s="5"/>
      <c r="E87" s="6" t="s">
        <v>10</v>
      </c>
      <c r="F87" s="5"/>
      <c r="G87" s="7" t="s">
        <v>146</v>
      </c>
      <c r="H87" t="str">
        <f t="shared" si="10"/>
        <v/>
      </c>
    </row>
    <row r="88" spans="1:8" x14ac:dyDescent="0.25">
      <c r="C88" s="4" t="s">
        <v>142</v>
      </c>
      <c r="D88" s="5"/>
      <c r="E88" s="6" t="s">
        <v>10</v>
      </c>
      <c r="F88" s="5"/>
      <c r="G88" s="7" t="s">
        <v>144</v>
      </c>
      <c r="H88" t="str">
        <f t="shared" si="10"/>
        <v/>
      </c>
    </row>
    <row r="89" spans="1:8" x14ac:dyDescent="0.25">
      <c r="C89" s="4" t="s">
        <v>143</v>
      </c>
      <c r="D89" s="5"/>
      <c r="E89" s="6" t="s">
        <v>10</v>
      </c>
      <c r="F89" s="5"/>
      <c r="G89" s="7" t="s">
        <v>146</v>
      </c>
      <c r="H89" t="str">
        <f t="shared" si="10"/>
        <v/>
      </c>
    </row>
    <row r="90" spans="1:8" x14ac:dyDescent="0.25">
      <c r="C90" s="4" t="s">
        <v>146</v>
      </c>
      <c r="D90" s="5"/>
      <c r="E90" s="6" t="s">
        <v>10</v>
      </c>
      <c r="F90" s="5"/>
      <c r="G90" s="7" t="s">
        <v>142</v>
      </c>
      <c r="H90" t="str">
        <f t="shared" si="10"/>
        <v/>
      </c>
    </row>
    <row r="91" spans="1:8" x14ac:dyDescent="0.25">
      <c r="C91" s="4" t="s">
        <v>143</v>
      </c>
      <c r="D91" s="5"/>
      <c r="E91" s="6" t="s">
        <v>10</v>
      </c>
      <c r="F91" s="5"/>
      <c r="G91" s="7" t="s">
        <v>144</v>
      </c>
      <c r="H91" t="str">
        <f t="shared" si="10"/>
        <v/>
      </c>
    </row>
    <row r="93" spans="1:8" ht="18.75" customHeight="1" x14ac:dyDescent="0.35">
      <c r="A93" s="12" t="s">
        <v>155</v>
      </c>
      <c r="B93" s="11"/>
      <c r="C93" s="11"/>
      <c r="D93" s="11"/>
      <c r="E93" s="11"/>
      <c r="F93" s="11"/>
      <c r="G93" s="11"/>
      <c r="H93" s="11"/>
    </row>
    <row r="94" spans="1:8" x14ac:dyDescent="0.25">
      <c r="C94" s="4" t="s">
        <v>149</v>
      </c>
      <c r="D94" s="5"/>
      <c r="E94" s="6" t="s">
        <v>10</v>
      </c>
      <c r="F94" s="5"/>
      <c r="G94" s="7" t="s">
        <v>150</v>
      </c>
      <c r="H94" t="str">
        <f t="shared" ref="H94:H99" si="11">IF(AND(ISNUMBER(D94),ISNUMBER(F94)),"Ok","")</f>
        <v/>
      </c>
    </row>
    <row r="95" spans="1:8" x14ac:dyDescent="0.25">
      <c r="C95" s="4" t="s">
        <v>151</v>
      </c>
      <c r="D95" s="5"/>
      <c r="E95" s="6" t="s">
        <v>10</v>
      </c>
      <c r="F95" s="5"/>
      <c r="G95" s="7" t="s">
        <v>152</v>
      </c>
      <c r="H95" t="str">
        <f t="shared" si="11"/>
        <v/>
      </c>
    </row>
    <row r="96" spans="1:8" x14ac:dyDescent="0.25">
      <c r="C96" s="4" t="s">
        <v>149</v>
      </c>
      <c r="D96" s="5"/>
      <c r="E96" s="6" t="s">
        <v>10</v>
      </c>
      <c r="F96" s="5"/>
      <c r="G96" s="7" t="s">
        <v>151</v>
      </c>
      <c r="H96" t="str">
        <f t="shared" si="11"/>
        <v/>
      </c>
    </row>
    <row r="97" spans="3:8" x14ac:dyDescent="0.25">
      <c r="C97" s="4" t="s">
        <v>150</v>
      </c>
      <c r="D97" s="5"/>
      <c r="E97" s="6" t="s">
        <v>10</v>
      </c>
      <c r="F97" s="5"/>
      <c r="G97" s="7" t="s">
        <v>152</v>
      </c>
      <c r="H97" t="str">
        <f t="shared" si="11"/>
        <v/>
      </c>
    </row>
    <row r="98" spans="3:8" x14ac:dyDescent="0.25">
      <c r="C98" s="4" t="s">
        <v>152</v>
      </c>
      <c r="D98" s="5"/>
      <c r="E98" s="6" t="s">
        <v>10</v>
      </c>
      <c r="F98" s="5"/>
      <c r="G98" s="7" t="s">
        <v>149</v>
      </c>
      <c r="H98" t="str">
        <f t="shared" si="11"/>
        <v/>
      </c>
    </row>
    <row r="99" spans="3:8" x14ac:dyDescent="0.25">
      <c r="C99" s="4" t="s">
        <v>150</v>
      </c>
      <c r="D99" s="5"/>
      <c r="E99" s="6" t="s">
        <v>10</v>
      </c>
      <c r="F99" s="5"/>
      <c r="G99" s="7" t="s">
        <v>151</v>
      </c>
      <c r="H99" t="str">
        <f t="shared" si="11"/>
        <v/>
      </c>
    </row>
  </sheetData>
  <mergeCells count="26">
    <mergeCell ref="A37:H37"/>
    <mergeCell ref="J65:T65"/>
    <mergeCell ref="A21:H21"/>
    <mergeCell ref="J35:T35"/>
    <mergeCell ref="J11:T11"/>
    <mergeCell ref="A45:H45"/>
    <mergeCell ref="J59:T59"/>
    <mergeCell ref="A61:H61"/>
    <mergeCell ref="A69:H69"/>
    <mergeCell ref="J53:T53"/>
    <mergeCell ref="A93:H93"/>
    <mergeCell ref="A85:H85"/>
    <mergeCell ref="J41:T41"/>
    <mergeCell ref="A5:H5"/>
    <mergeCell ref="A1:H2"/>
    <mergeCell ref="A53:H53"/>
    <mergeCell ref="A29:H29"/>
    <mergeCell ref="J47:T47"/>
    <mergeCell ref="A13:H13"/>
    <mergeCell ref="J71:T71"/>
    <mergeCell ref="J1:S2"/>
    <mergeCell ref="J17:T17"/>
    <mergeCell ref="J23:T23"/>
    <mergeCell ref="A77:H77"/>
    <mergeCell ref="J29:T29"/>
    <mergeCell ref="J5:T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9"/>
  <sheetViews>
    <sheetView workbookViewId="0"/>
  </sheetViews>
  <sheetFormatPr defaultColWidth="9.140625" defaultRowHeight="15" x14ac:dyDescent="0.25"/>
  <sheetData>
    <row r="1" spans="1:15" x14ac:dyDescent="0.25">
      <c r="A1" t="s">
        <v>156</v>
      </c>
      <c r="B1" t="s">
        <v>157</v>
      </c>
      <c r="C1" t="s">
        <v>158</v>
      </c>
      <c r="D1" t="s">
        <v>159</v>
      </c>
      <c r="F1" t="s">
        <v>160</v>
      </c>
      <c r="G1" t="s">
        <v>161</v>
      </c>
      <c r="I1" t="s">
        <v>162</v>
      </c>
      <c r="J1" t="s">
        <v>163</v>
      </c>
      <c r="L1" t="s">
        <v>164</v>
      </c>
      <c r="M1" t="s">
        <v>165</v>
      </c>
      <c r="O1" t="s">
        <v>166</v>
      </c>
    </row>
    <row r="2" spans="1:15" x14ac:dyDescent="0.25">
      <c r="A2" t="str">
        <f>Grupos!J6</f>
        <v>A</v>
      </c>
      <c r="B2" t="str">
        <f>Grupos!K6</f>
        <v>México</v>
      </c>
      <c r="C2">
        <f>Grupos!T6</f>
        <v>100000.0006</v>
      </c>
      <c r="D2">
        <f>RANK(C2, Grupos!$T$6:$T$9)</f>
        <v>4</v>
      </c>
      <c r="F2" t="str">
        <f t="shared" ref="F2:F49" si="0">IF(D2&lt;=2, B2, "")</f>
        <v/>
      </c>
      <c r="G2">
        <f t="shared" ref="G2:G49" si="1">IF(D2&lt;=2, C2, -1)</f>
        <v>-1</v>
      </c>
      <c r="I2" t="str">
        <f t="shared" ref="I2:I49" si="2">IF(D2=3, B2, "")</f>
        <v/>
      </c>
      <c r="J2">
        <f t="shared" ref="J2:J49" si="3">IF(D2=3, C2, -1)</f>
        <v>-1</v>
      </c>
      <c r="L2" t="str">
        <f>INDEX(F$2:F$49, MATCH(LARGE(G$2:G$49, 1), G$2:G$49, 0))</f>
        <v>Panamá</v>
      </c>
      <c r="M2" t="str">
        <f>INDEX(I$2:I$49, MATCH(LARGE(J$2:J$49, 1), J$2:J$49, 0))</f>
        <v>Croacia</v>
      </c>
      <c r="O2" t="str">
        <f t="shared" ref="O2:O25" si="4">L2</f>
        <v>Panamá</v>
      </c>
    </row>
    <row r="3" spans="1:15" x14ac:dyDescent="0.25">
      <c r="A3" t="str">
        <f>Grupos!J7</f>
        <v>A</v>
      </c>
      <c r="B3" t="str">
        <f>Grupos!K7</f>
        <v>Sudáfrica</v>
      </c>
      <c r="C3">
        <f>Grupos!T7</f>
        <v>100000.0007</v>
      </c>
      <c r="D3">
        <f>RANK(C3, Grupos!$T$6:$T$9)</f>
        <v>3</v>
      </c>
      <c r="F3" t="str">
        <f t="shared" si="0"/>
        <v/>
      </c>
      <c r="G3">
        <f t="shared" si="1"/>
        <v>-1</v>
      </c>
      <c r="I3" t="str">
        <f t="shared" si="2"/>
        <v>Sudáfrica</v>
      </c>
      <c r="J3">
        <f t="shared" si="3"/>
        <v>100000.0007</v>
      </c>
      <c r="L3" t="str">
        <f>INDEX(F$2:F$49, MATCH(LARGE(G$2:G$49, 2), G$2:G$49, 0))</f>
        <v>Ghana</v>
      </c>
      <c r="M3" t="str">
        <f>INDEX(I$2:I$49, MATCH(LARGE(J$2:J$49, 2), J$2:J$49, 0))</f>
        <v>RD Congo</v>
      </c>
      <c r="O3" t="str">
        <f t="shared" si="4"/>
        <v>Ghana</v>
      </c>
    </row>
    <row r="4" spans="1:15" x14ac:dyDescent="0.25">
      <c r="A4" t="str">
        <f>Grupos!J8</f>
        <v>A</v>
      </c>
      <c r="B4" t="str">
        <f>Grupos!K8</f>
        <v>Corea del Sur</v>
      </c>
      <c r="C4">
        <f>Grupos!T8</f>
        <v>100000.00079999999</v>
      </c>
      <c r="D4">
        <f>RANK(C4, Grupos!$T$6:$T$9)</f>
        <v>2</v>
      </c>
      <c r="F4" t="str">
        <f t="shared" si="0"/>
        <v>Corea del Sur</v>
      </c>
      <c r="G4">
        <f t="shared" si="1"/>
        <v>100000.00079999999</v>
      </c>
      <c r="I4" t="str">
        <f t="shared" si="2"/>
        <v/>
      </c>
      <c r="J4">
        <f t="shared" si="3"/>
        <v>-1</v>
      </c>
      <c r="L4" t="str">
        <f>INDEX(F$2:F$49, MATCH(LARGE(G$2:G$49, 3), G$2:G$49, 0))</f>
        <v>Colombia</v>
      </c>
      <c r="M4" t="str">
        <f>INDEX(I$2:I$49, MATCH(LARGE(J$2:J$49, 3), J$2:J$49, 0))</f>
        <v>Argelia</v>
      </c>
      <c r="O4" t="str">
        <f t="shared" si="4"/>
        <v>Colombia</v>
      </c>
    </row>
    <row r="5" spans="1:15" x14ac:dyDescent="0.25">
      <c r="A5" t="str">
        <f>Grupos!J9</f>
        <v>A</v>
      </c>
      <c r="B5" t="str">
        <f>Grupos!K9</f>
        <v>Chequia</v>
      </c>
      <c r="C5">
        <f>Grupos!T9</f>
        <v>100000.0009</v>
      </c>
      <c r="D5">
        <f>RANK(C5, Grupos!$T$6:$T$9)</f>
        <v>1</v>
      </c>
      <c r="F5" t="str">
        <f t="shared" si="0"/>
        <v>Chequia</v>
      </c>
      <c r="G5">
        <f t="shared" si="1"/>
        <v>100000.0009</v>
      </c>
      <c r="I5" t="str">
        <f t="shared" si="2"/>
        <v/>
      </c>
      <c r="J5">
        <f t="shared" si="3"/>
        <v>-1</v>
      </c>
      <c r="L5" t="str">
        <f>INDEX(F$2:F$49, MATCH(LARGE(G$2:G$49, 4), G$2:G$49, 0))</f>
        <v>Uzbekistán</v>
      </c>
      <c r="M5" t="str">
        <f>INDEX(I$2:I$49, MATCH(LARGE(J$2:J$49, 4), J$2:J$49, 0))</f>
        <v>Senegal</v>
      </c>
      <c r="O5" t="str">
        <f t="shared" si="4"/>
        <v>Uzbekistán</v>
      </c>
    </row>
    <row r="6" spans="1:15" x14ac:dyDescent="0.25">
      <c r="A6" t="str">
        <f>Grupos!J12</f>
        <v>B</v>
      </c>
      <c r="B6" t="str">
        <f>Grupos!K12</f>
        <v>Canadá</v>
      </c>
      <c r="C6">
        <f>Grupos!T12</f>
        <v>100000.0012</v>
      </c>
      <c r="D6">
        <f>RANK(C6, Grupos!$T$12:$T$15)</f>
        <v>4</v>
      </c>
      <c r="F6" t="str">
        <f t="shared" si="0"/>
        <v/>
      </c>
      <c r="G6">
        <f t="shared" si="1"/>
        <v>-1</v>
      </c>
      <c r="I6" t="str">
        <f t="shared" si="2"/>
        <v/>
      </c>
      <c r="J6">
        <f t="shared" si="3"/>
        <v>-1</v>
      </c>
      <c r="L6" t="str">
        <f>INDEX(F$2:F$49, MATCH(LARGE(G$2:G$49, 5), G$2:G$49, 0))</f>
        <v>Jordania</v>
      </c>
      <c r="M6" t="str">
        <f>INDEX(I$2:I$49, MATCH(LARGE(J$2:J$49, 5), J$2:J$49, 0))</f>
        <v>Cabo Verde</v>
      </c>
      <c r="O6" t="str">
        <f t="shared" si="4"/>
        <v>Jordania</v>
      </c>
    </row>
    <row r="7" spans="1:15" x14ac:dyDescent="0.25">
      <c r="A7" t="str">
        <f>Grupos!J13</f>
        <v>B</v>
      </c>
      <c r="B7" t="str">
        <f>Grupos!K13</f>
        <v>Bosnia y Herze.</v>
      </c>
      <c r="C7">
        <f>Grupos!T13</f>
        <v>100000.0013</v>
      </c>
      <c r="D7">
        <f>RANK(C7, Grupos!$T$12:$T$15)</f>
        <v>3</v>
      </c>
      <c r="F7" t="str">
        <f t="shared" si="0"/>
        <v/>
      </c>
      <c r="G7">
        <f t="shared" si="1"/>
        <v>-1</v>
      </c>
      <c r="I7" t="str">
        <f t="shared" si="2"/>
        <v>Bosnia y Herze.</v>
      </c>
      <c r="J7">
        <f t="shared" si="3"/>
        <v>100000.0013</v>
      </c>
      <c r="L7" t="str">
        <f>INDEX(F$2:F$49, MATCH(LARGE(G$2:G$49, 6), G$2:G$49, 0))</f>
        <v>Austria</v>
      </c>
      <c r="M7" t="str">
        <f>INDEX(I$2:I$49, MATCH(LARGE(J$2:J$49, 6), J$2:J$49, 0))</f>
        <v>Egipto</v>
      </c>
      <c r="O7" t="str">
        <f t="shared" si="4"/>
        <v>Austria</v>
      </c>
    </row>
    <row r="8" spans="1:15" x14ac:dyDescent="0.25">
      <c r="A8" t="str">
        <f>Grupos!J14</f>
        <v>B</v>
      </c>
      <c r="B8" t="str">
        <f>Grupos!K14</f>
        <v>Qatar</v>
      </c>
      <c r="C8">
        <f>Grupos!T14</f>
        <v>100000.00139999999</v>
      </c>
      <c r="D8">
        <f>RANK(C8, Grupos!$T$12:$T$15)</f>
        <v>2</v>
      </c>
      <c r="F8" t="str">
        <f t="shared" si="0"/>
        <v>Qatar</v>
      </c>
      <c r="G8">
        <f t="shared" si="1"/>
        <v>100000.00139999999</v>
      </c>
      <c r="I8" t="str">
        <f t="shared" si="2"/>
        <v/>
      </c>
      <c r="J8">
        <f t="shared" si="3"/>
        <v>-1</v>
      </c>
      <c r="L8" t="str">
        <f>INDEX(F$2:F$49, MATCH(LARGE(G$2:G$49, 7), G$2:G$49, 0))</f>
        <v>Noruega</v>
      </c>
      <c r="M8" t="str">
        <f>INDEX(I$2:I$49, MATCH(LARGE(J$2:J$49, 7), J$2:J$49, 0))</f>
        <v>Japón</v>
      </c>
      <c r="O8" t="str">
        <f t="shared" si="4"/>
        <v>Noruega</v>
      </c>
    </row>
    <row r="9" spans="1:15" x14ac:dyDescent="0.25">
      <c r="A9" t="str">
        <f>Grupos!J15</f>
        <v>B</v>
      </c>
      <c r="B9" t="str">
        <f>Grupos!K15</f>
        <v>Suiza</v>
      </c>
      <c r="C9">
        <f>Grupos!T15</f>
        <v>100000.0015</v>
      </c>
      <c r="D9">
        <f>RANK(C9, Grupos!$T$12:$T$15)</f>
        <v>1</v>
      </c>
      <c r="F9" t="str">
        <f t="shared" si="0"/>
        <v>Suiza</v>
      </c>
      <c r="G9">
        <f t="shared" si="1"/>
        <v>100000.0015</v>
      </c>
      <c r="I9" t="str">
        <f t="shared" si="2"/>
        <v/>
      </c>
      <c r="J9">
        <f t="shared" si="3"/>
        <v>-1</v>
      </c>
      <c r="L9" t="str">
        <f>INDEX(F$2:F$49, MATCH(LARGE(G$2:G$49, 8), G$2:G$49, 0))</f>
        <v>Irak</v>
      </c>
      <c r="M9" t="str">
        <f>INDEX(I$2:I$49, MATCH(LARGE(J$2:J$49, 8), J$2:J$49, 0))</f>
        <v>Curaçao</v>
      </c>
      <c r="O9" t="str">
        <f t="shared" si="4"/>
        <v>Irak</v>
      </c>
    </row>
    <row r="10" spans="1:15" x14ac:dyDescent="0.25">
      <c r="A10" t="str">
        <f>Grupos!J18</f>
        <v>C</v>
      </c>
      <c r="B10" t="str">
        <f>Grupos!K18</f>
        <v>Brasil</v>
      </c>
      <c r="C10">
        <f>Grupos!T18</f>
        <v>100000.0018</v>
      </c>
      <c r="D10">
        <f>RANK(C10, Grupos!$T$18:$T$21)</f>
        <v>4</v>
      </c>
      <c r="F10" t="str">
        <f t="shared" si="0"/>
        <v/>
      </c>
      <c r="G10">
        <f t="shared" si="1"/>
        <v>-1</v>
      </c>
      <c r="I10" t="str">
        <f t="shared" si="2"/>
        <v/>
      </c>
      <c r="J10">
        <f t="shared" si="3"/>
        <v>-1</v>
      </c>
      <c r="L10" t="str">
        <f>INDEX(F$2:F$49, MATCH(LARGE(G$2:G$49, 9), G$2:G$49, 0))</f>
        <v>Uruguay</v>
      </c>
      <c r="O10" t="str">
        <f t="shared" si="4"/>
        <v>Uruguay</v>
      </c>
    </row>
    <row r="11" spans="1:15" x14ac:dyDescent="0.25">
      <c r="A11" t="str">
        <f>Grupos!J19</f>
        <v>C</v>
      </c>
      <c r="B11" t="str">
        <f>Grupos!K19</f>
        <v>Marruecos</v>
      </c>
      <c r="C11">
        <f>Grupos!T19</f>
        <v>100000.0019</v>
      </c>
      <c r="D11">
        <f>RANK(C11, Grupos!$T$18:$T$21)</f>
        <v>3</v>
      </c>
      <c r="F11" t="str">
        <f t="shared" si="0"/>
        <v/>
      </c>
      <c r="G11">
        <f t="shared" si="1"/>
        <v>-1</v>
      </c>
      <c r="I11" t="str">
        <f t="shared" si="2"/>
        <v>Marruecos</v>
      </c>
      <c r="J11">
        <f t="shared" si="3"/>
        <v>100000.0019</v>
      </c>
      <c r="L11" t="str">
        <f>INDEX(F$2:F$49, MATCH(LARGE(G$2:G$49, 10), G$2:G$49, 0))</f>
        <v>Arabia Saud.</v>
      </c>
      <c r="O11" t="str">
        <f t="shared" si="4"/>
        <v>Arabia Saud.</v>
      </c>
    </row>
    <row r="12" spans="1:15" x14ac:dyDescent="0.25">
      <c r="A12" t="str">
        <f>Grupos!J20</f>
        <v>C</v>
      </c>
      <c r="B12" t="str">
        <f>Grupos!K20</f>
        <v>Haití</v>
      </c>
      <c r="C12">
        <f>Grupos!T20</f>
        <v>100000.00199999999</v>
      </c>
      <c r="D12">
        <f>RANK(C12, Grupos!$T$18:$T$21)</f>
        <v>2</v>
      </c>
      <c r="F12" t="str">
        <f t="shared" si="0"/>
        <v>Haití</v>
      </c>
      <c r="G12">
        <f t="shared" si="1"/>
        <v>100000.00199999999</v>
      </c>
      <c r="I12" t="str">
        <f t="shared" si="2"/>
        <v/>
      </c>
      <c r="J12">
        <f t="shared" si="3"/>
        <v>-1</v>
      </c>
      <c r="L12" t="str">
        <f>INDEX(F$2:F$49, MATCH(LARGE(G$2:G$49, 11), G$2:G$49, 0))</f>
        <v>Nueva Zelanda</v>
      </c>
      <c r="O12" t="str">
        <f t="shared" si="4"/>
        <v>Nueva Zelanda</v>
      </c>
    </row>
    <row r="13" spans="1:15" x14ac:dyDescent="0.25">
      <c r="A13" t="str">
        <f>Grupos!J21</f>
        <v>C</v>
      </c>
      <c r="B13" t="str">
        <f>Grupos!K21</f>
        <v>Escocia</v>
      </c>
      <c r="C13">
        <f>Grupos!T21</f>
        <v>100000.0021</v>
      </c>
      <c r="D13">
        <f>RANK(C13, Grupos!$T$18:$T$21)</f>
        <v>1</v>
      </c>
      <c r="F13" t="str">
        <f t="shared" si="0"/>
        <v>Escocia</v>
      </c>
      <c r="G13">
        <f t="shared" si="1"/>
        <v>100000.0021</v>
      </c>
      <c r="I13" t="str">
        <f t="shared" si="2"/>
        <v/>
      </c>
      <c r="J13">
        <f t="shared" si="3"/>
        <v>-1</v>
      </c>
      <c r="L13" t="str">
        <f>INDEX(F$2:F$49, MATCH(LARGE(G$2:G$49, 12), G$2:G$49, 0))</f>
        <v>Irán</v>
      </c>
      <c r="O13" t="str">
        <f t="shared" si="4"/>
        <v>Irán</v>
      </c>
    </row>
    <row r="14" spans="1:15" x14ac:dyDescent="0.25">
      <c r="A14" t="str">
        <f>Grupos!J24</f>
        <v>D</v>
      </c>
      <c r="B14" t="str">
        <f>Grupos!K24</f>
        <v>Estados Unidos</v>
      </c>
      <c r="C14">
        <f>Grupos!T24</f>
        <v>100000.0024</v>
      </c>
      <c r="D14">
        <f>RANK(C14, Grupos!$T$24:$T$27)</f>
        <v>4</v>
      </c>
      <c r="F14" t="str">
        <f t="shared" si="0"/>
        <v/>
      </c>
      <c r="G14">
        <f t="shared" si="1"/>
        <v>-1</v>
      </c>
      <c r="I14" t="str">
        <f t="shared" si="2"/>
        <v/>
      </c>
      <c r="J14">
        <f t="shared" si="3"/>
        <v>-1</v>
      </c>
      <c r="L14" t="str">
        <f>INDEX(F$2:F$49, MATCH(LARGE(G$2:G$49, 13), G$2:G$49, 0))</f>
        <v>Túnez</v>
      </c>
      <c r="O14" t="str">
        <f t="shared" si="4"/>
        <v>Túnez</v>
      </c>
    </row>
    <row r="15" spans="1:15" x14ac:dyDescent="0.25">
      <c r="A15" t="str">
        <f>Grupos!J25</f>
        <v>D</v>
      </c>
      <c r="B15" t="str">
        <f>Grupos!K25</f>
        <v>Paraguay</v>
      </c>
      <c r="C15">
        <f>Grupos!T25</f>
        <v>100000.0025</v>
      </c>
      <c r="D15">
        <f>RANK(C15, Grupos!$T$24:$T$27)</f>
        <v>3</v>
      </c>
      <c r="F15" t="str">
        <f t="shared" si="0"/>
        <v/>
      </c>
      <c r="G15">
        <f t="shared" si="1"/>
        <v>-1</v>
      </c>
      <c r="I15" t="str">
        <f t="shared" si="2"/>
        <v>Paraguay</v>
      </c>
      <c r="J15">
        <f t="shared" si="3"/>
        <v>100000.0025</v>
      </c>
      <c r="L15" t="str">
        <f>INDEX(F$2:F$49, MATCH(LARGE(G$2:G$49, 14), G$2:G$49, 0))</f>
        <v>Suecia</v>
      </c>
      <c r="O15" t="str">
        <f t="shared" si="4"/>
        <v>Suecia</v>
      </c>
    </row>
    <row r="16" spans="1:15" x14ac:dyDescent="0.25">
      <c r="A16" t="str">
        <f>Grupos!J26</f>
        <v>D</v>
      </c>
      <c r="B16" t="str">
        <f>Grupos!K26</f>
        <v>Australia</v>
      </c>
      <c r="C16">
        <f>Grupos!T26</f>
        <v>100000.00260000001</v>
      </c>
      <c r="D16">
        <f>RANK(C16, Grupos!$T$24:$T$27)</f>
        <v>2</v>
      </c>
      <c r="F16" t="str">
        <f t="shared" si="0"/>
        <v>Australia</v>
      </c>
      <c r="G16">
        <f t="shared" si="1"/>
        <v>100000.00260000001</v>
      </c>
      <c r="I16" t="str">
        <f t="shared" si="2"/>
        <v/>
      </c>
      <c r="J16">
        <f t="shared" si="3"/>
        <v>-1</v>
      </c>
      <c r="L16" t="str">
        <f>INDEX(F$2:F$49, MATCH(LARGE(G$2:G$49, 15), G$2:G$49, 0))</f>
        <v>Ecuador</v>
      </c>
      <c r="O16" t="str">
        <f t="shared" si="4"/>
        <v>Ecuador</v>
      </c>
    </row>
    <row r="17" spans="1:15" x14ac:dyDescent="0.25">
      <c r="A17" t="str">
        <f>Grupos!J27</f>
        <v>D</v>
      </c>
      <c r="B17" t="str">
        <f>Grupos!K27</f>
        <v>Turquía</v>
      </c>
      <c r="C17">
        <f>Grupos!T27</f>
        <v>100000.0027</v>
      </c>
      <c r="D17">
        <f>RANK(C17, Grupos!$T$24:$T$27)</f>
        <v>1</v>
      </c>
      <c r="F17" t="str">
        <f t="shared" si="0"/>
        <v>Turquía</v>
      </c>
      <c r="G17">
        <f t="shared" si="1"/>
        <v>100000.0027</v>
      </c>
      <c r="I17" t="str">
        <f t="shared" si="2"/>
        <v/>
      </c>
      <c r="J17">
        <f t="shared" si="3"/>
        <v>-1</v>
      </c>
      <c r="L17" t="str">
        <f>INDEX(F$2:F$49, MATCH(LARGE(G$2:G$49, 16), G$2:G$49, 0))</f>
        <v>Costa de Marfil</v>
      </c>
      <c r="O17" t="str">
        <f t="shared" si="4"/>
        <v>Costa de Marfil</v>
      </c>
    </row>
    <row r="18" spans="1:15" x14ac:dyDescent="0.25">
      <c r="A18" t="str">
        <f>Grupos!J30</f>
        <v>E</v>
      </c>
      <c r="B18" t="str">
        <f>Grupos!K30</f>
        <v>Alemania</v>
      </c>
      <c r="C18">
        <f>Grupos!T30</f>
        <v>100000.003</v>
      </c>
      <c r="D18">
        <f>RANK(C18, Grupos!$T$30:$T$33)</f>
        <v>4</v>
      </c>
      <c r="F18" t="str">
        <f t="shared" si="0"/>
        <v/>
      </c>
      <c r="G18">
        <f t="shared" si="1"/>
        <v>-1</v>
      </c>
      <c r="I18" t="str">
        <f t="shared" si="2"/>
        <v/>
      </c>
      <c r="J18">
        <f t="shared" si="3"/>
        <v>-1</v>
      </c>
      <c r="L18" t="str">
        <f>INDEX(F$2:F$49, MATCH(LARGE(G$2:G$49, 17), G$2:G$49, 0))</f>
        <v>Turquía</v>
      </c>
      <c r="O18" t="str">
        <f t="shared" si="4"/>
        <v>Turquía</v>
      </c>
    </row>
    <row r="19" spans="1:15" x14ac:dyDescent="0.25">
      <c r="A19" t="str">
        <f>Grupos!J31</f>
        <v>E</v>
      </c>
      <c r="B19" t="str">
        <f>Grupos!K31</f>
        <v>Curaçao</v>
      </c>
      <c r="C19">
        <f>Grupos!T31</f>
        <v>100000.0031</v>
      </c>
      <c r="D19">
        <f>RANK(C19, Grupos!$T$30:$T$33)</f>
        <v>3</v>
      </c>
      <c r="F19" t="str">
        <f t="shared" si="0"/>
        <v/>
      </c>
      <c r="G19">
        <f t="shared" si="1"/>
        <v>-1</v>
      </c>
      <c r="I19" t="str">
        <f t="shared" si="2"/>
        <v>Curaçao</v>
      </c>
      <c r="J19">
        <f t="shared" si="3"/>
        <v>100000.0031</v>
      </c>
      <c r="L19" t="str">
        <f>INDEX(F$2:F$49, MATCH(LARGE(G$2:G$49, 18), G$2:G$49, 0))</f>
        <v>Australia</v>
      </c>
      <c r="O19" t="str">
        <f t="shared" si="4"/>
        <v>Australia</v>
      </c>
    </row>
    <row r="20" spans="1:15" x14ac:dyDescent="0.25">
      <c r="A20" t="str">
        <f>Grupos!J32</f>
        <v>E</v>
      </c>
      <c r="B20" t="str">
        <f>Grupos!K32</f>
        <v>Costa de Marfil</v>
      </c>
      <c r="C20">
        <f>Grupos!T32</f>
        <v>100000.00320000001</v>
      </c>
      <c r="D20">
        <f>RANK(C20, Grupos!$T$30:$T$33)</f>
        <v>2</v>
      </c>
      <c r="F20" t="str">
        <f t="shared" si="0"/>
        <v>Costa de Marfil</v>
      </c>
      <c r="G20">
        <f t="shared" si="1"/>
        <v>100000.00320000001</v>
      </c>
      <c r="I20" t="str">
        <f t="shared" si="2"/>
        <v/>
      </c>
      <c r="J20">
        <f t="shared" si="3"/>
        <v>-1</v>
      </c>
      <c r="L20" t="str">
        <f>INDEX(F$2:F$49, MATCH(LARGE(G$2:G$49, 19), G$2:G$49, 0))</f>
        <v>Escocia</v>
      </c>
      <c r="O20" t="str">
        <f t="shared" si="4"/>
        <v>Escocia</v>
      </c>
    </row>
    <row r="21" spans="1:15" x14ac:dyDescent="0.25">
      <c r="A21" t="str">
        <f>Grupos!J33</f>
        <v>E</v>
      </c>
      <c r="B21" t="str">
        <f>Grupos!K33</f>
        <v>Ecuador</v>
      </c>
      <c r="C21">
        <f>Grupos!T33</f>
        <v>100000.0033</v>
      </c>
      <c r="D21">
        <f>RANK(C21, Grupos!$T$30:$T$33)</f>
        <v>1</v>
      </c>
      <c r="F21" t="str">
        <f t="shared" si="0"/>
        <v>Ecuador</v>
      </c>
      <c r="G21">
        <f t="shared" si="1"/>
        <v>100000.0033</v>
      </c>
      <c r="I21" t="str">
        <f t="shared" si="2"/>
        <v/>
      </c>
      <c r="J21">
        <f t="shared" si="3"/>
        <v>-1</v>
      </c>
      <c r="L21" t="str">
        <f>INDEX(F$2:F$49, MATCH(LARGE(G$2:G$49, 20), G$2:G$49, 0))</f>
        <v>Haití</v>
      </c>
      <c r="O21" t="str">
        <f t="shared" si="4"/>
        <v>Haití</v>
      </c>
    </row>
    <row r="22" spans="1:15" x14ac:dyDescent="0.25">
      <c r="A22" t="str">
        <f>Grupos!J36</f>
        <v>F</v>
      </c>
      <c r="B22" t="str">
        <f>Grupos!K36</f>
        <v>Países Bajos</v>
      </c>
      <c r="C22">
        <f>Grupos!T36</f>
        <v>100000.0036</v>
      </c>
      <c r="D22">
        <f>RANK(C22, Grupos!$T$36:$T$39)</f>
        <v>4</v>
      </c>
      <c r="F22" t="str">
        <f t="shared" si="0"/>
        <v/>
      </c>
      <c r="G22">
        <f t="shared" si="1"/>
        <v>-1</v>
      </c>
      <c r="I22" t="str">
        <f t="shared" si="2"/>
        <v/>
      </c>
      <c r="J22">
        <f t="shared" si="3"/>
        <v>-1</v>
      </c>
      <c r="L22" t="str">
        <f>INDEX(F$2:F$49, MATCH(LARGE(G$2:G$49, 21), G$2:G$49, 0))</f>
        <v>Suiza</v>
      </c>
      <c r="O22" t="str">
        <f t="shared" si="4"/>
        <v>Suiza</v>
      </c>
    </row>
    <row r="23" spans="1:15" x14ac:dyDescent="0.25">
      <c r="A23" t="str">
        <f>Grupos!J37</f>
        <v>F</v>
      </c>
      <c r="B23" t="str">
        <f>Grupos!K37</f>
        <v>Japón</v>
      </c>
      <c r="C23">
        <f>Grupos!T37</f>
        <v>100000.0037</v>
      </c>
      <c r="D23">
        <f>RANK(C23, Grupos!$T$36:$T$39)</f>
        <v>3</v>
      </c>
      <c r="F23" t="str">
        <f t="shared" si="0"/>
        <v/>
      </c>
      <c r="G23">
        <f t="shared" si="1"/>
        <v>-1</v>
      </c>
      <c r="I23" t="str">
        <f t="shared" si="2"/>
        <v>Japón</v>
      </c>
      <c r="J23">
        <f t="shared" si="3"/>
        <v>100000.0037</v>
      </c>
      <c r="L23" t="str">
        <f>INDEX(F$2:F$49, MATCH(LARGE(G$2:G$49, 22), G$2:G$49, 0))</f>
        <v>Qatar</v>
      </c>
      <c r="O23" t="str">
        <f t="shared" si="4"/>
        <v>Qatar</v>
      </c>
    </row>
    <row r="24" spans="1:15" x14ac:dyDescent="0.25">
      <c r="A24" t="str">
        <f>Grupos!J38</f>
        <v>F</v>
      </c>
      <c r="B24" t="str">
        <f>Grupos!K38</f>
        <v>Suecia</v>
      </c>
      <c r="C24">
        <f>Grupos!T38</f>
        <v>100000.00380000001</v>
      </c>
      <c r="D24">
        <f>RANK(C24, Grupos!$T$36:$T$39)</f>
        <v>2</v>
      </c>
      <c r="F24" t="str">
        <f t="shared" si="0"/>
        <v>Suecia</v>
      </c>
      <c r="G24">
        <f t="shared" si="1"/>
        <v>100000.00380000001</v>
      </c>
      <c r="I24" t="str">
        <f t="shared" si="2"/>
        <v/>
      </c>
      <c r="J24">
        <f t="shared" si="3"/>
        <v>-1</v>
      </c>
      <c r="L24" t="str">
        <f>INDEX(F$2:F$49, MATCH(LARGE(G$2:G$49, 23), G$2:G$49, 0))</f>
        <v>Chequia</v>
      </c>
      <c r="O24" t="str">
        <f t="shared" si="4"/>
        <v>Chequia</v>
      </c>
    </row>
    <row r="25" spans="1:15" x14ac:dyDescent="0.25">
      <c r="A25" t="str">
        <f>Grupos!J39</f>
        <v>F</v>
      </c>
      <c r="B25" t="str">
        <f>Grupos!K39</f>
        <v>Túnez</v>
      </c>
      <c r="C25">
        <f>Grupos!T39</f>
        <v>100000.0039</v>
      </c>
      <c r="D25">
        <f>RANK(C25, Grupos!$T$36:$T$39)</f>
        <v>1</v>
      </c>
      <c r="F25" t="str">
        <f t="shared" si="0"/>
        <v>Túnez</v>
      </c>
      <c r="G25">
        <f t="shared" si="1"/>
        <v>100000.0039</v>
      </c>
      <c r="I25" t="str">
        <f t="shared" si="2"/>
        <v/>
      </c>
      <c r="J25">
        <f t="shared" si="3"/>
        <v>-1</v>
      </c>
      <c r="L25" t="str">
        <f>INDEX(F$2:F$49, MATCH(LARGE(G$2:G$49, 24), G$2:G$49, 0))</f>
        <v>Corea del Sur</v>
      </c>
      <c r="O25" t="str">
        <f t="shared" si="4"/>
        <v>Corea del Sur</v>
      </c>
    </row>
    <row r="26" spans="1:15" x14ac:dyDescent="0.25">
      <c r="A26" t="str">
        <f>Grupos!J42</f>
        <v>G</v>
      </c>
      <c r="B26" t="str">
        <f>Grupos!K42</f>
        <v>Bélgica</v>
      </c>
      <c r="C26">
        <f>Grupos!T42</f>
        <v>100000.0042</v>
      </c>
      <c r="D26">
        <f>RANK(C26, Grupos!$T$42:$T$45)</f>
        <v>4</v>
      </c>
      <c r="F26" t="str">
        <f t="shared" si="0"/>
        <v/>
      </c>
      <c r="G26">
        <f t="shared" si="1"/>
        <v>-1</v>
      </c>
      <c r="I26" t="str">
        <f t="shared" si="2"/>
        <v/>
      </c>
      <c r="J26">
        <f t="shared" si="3"/>
        <v>-1</v>
      </c>
      <c r="O26" t="str">
        <f t="shared" ref="O26:O33" si="5">M2</f>
        <v>Croacia</v>
      </c>
    </row>
    <row r="27" spans="1:15" x14ac:dyDescent="0.25">
      <c r="A27" t="str">
        <f>Grupos!J43</f>
        <v>G</v>
      </c>
      <c r="B27" t="str">
        <f>Grupos!K43</f>
        <v>Egipto</v>
      </c>
      <c r="C27">
        <f>Grupos!T43</f>
        <v>100000.0043</v>
      </c>
      <c r="D27">
        <f>RANK(C27, Grupos!$T$42:$T$45)</f>
        <v>3</v>
      </c>
      <c r="F27" t="str">
        <f t="shared" si="0"/>
        <v/>
      </c>
      <c r="G27">
        <f t="shared" si="1"/>
        <v>-1</v>
      </c>
      <c r="I27" t="str">
        <f t="shared" si="2"/>
        <v>Egipto</v>
      </c>
      <c r="J27">
        <f t="shared" si="3"/>
        <v>100000.0043</v>
      </c>
      <c r="O27" t="str">
        <f t="shared" si="5"/>
        <v>RD Congo</v>
      </c>
    </row>
    <row r="28" spans="1:15" x14ac:dyDescent="0.25">
      <c r="A28" t="str">
        <f>Grupos!J44</f>
        <v>G</v>
      </c>
      <c r="B28" t="str">
        <f>Grupos!K44</f>
        <v>Irán</v>
      </c>
      <c r="C28">
        <f>Grupos!T44</f>
        <v>100000.00440000001</v>
      </c>
      <c r="D28">
        <f>RANK(C28, Grupos!$T$42:$T$45)</f>
        <v>2</v>
      </c>
      <c r="F28" t="str">
        <f t="shared" si="0"/>
        <v>Irán</v>
      </c>
      <c r="G28">
        <f t="shared" si="1"/>
        <v>100000.00440000001</v>
      </c>
      <c r="I28" t="str">
        <f t="shared" si="2"/>
        <v/>
      </c>
      <c r="J28">
        <f t="shared" si="3"/>
        <v>-1</v>
      </c>
      <c r="O28" t="str">
        <f t="shared" si="5"/>
        <v>Argelia</v>
      </c>
    </row>
    <row r="29" spans="1:15" x14ac:dyDescent="0.25">
      <c r="A29" t="str">
        <f>Grupos!J45</f>
        <v>G</v>
      </c>
      <c r="B29" t="str">
        <f>Grupos!K45</f>
        <v>Nueva Zelanda</v>
      </c>
      <c r="C29">
        <f>Grupos!T45</f>
        <v>100000.0045</v>
      </c>
      <c r="D29">
        <f>RANK(C29, Grupos!$T$42:$T$45)</f>
        <v>1</v>
      </c>
      <c r="F29" t="str">
        <f t="shared" si="0"/>
        <v>Nueva Zelanda</v>
      </c>
      <c r="G29">
        <f t="shared" si="1"/>
        <v>100000.0045</v>
      </c>
      <c r="I29" t="str">
        <f t="shared" si="2"/>
        <v/>
      </c>
      <c r="J29">
        <f t="shared" si="3"/>
        <v>-1</v>
      </c>
      <c r="O29" t="str">
        <f t="shared" si="5"/>
        <v>Senegal</v>
      </c>
    </row>
    <row r="30" spans="1:15" x14ac:dyDescent="0.25">
      <c r="A30" t="str">
        <f>Grupos!J48</f>
        <v>H</v>
      </c>
      <c r="B30" t="str">
        <f>Grupos!K48</f>
        <v>España</v>
      </c>
      <c r="C30">
        <f>Grupos!T48</f>
        <v>100000.0048</v>
      </c>
      <c r="D30">
        <f>RANK(C30, Grupos!$T$48:$T$51)</f>
        <v>4</v>
      </c>
      <c r="F30" t="str">
        <f t="shared" si="0"/>
        <v/>
      </c>
      <c r="G30">
        <f t="shared" si="1"/>
        <v>-1</v>
      </c>
      <c r="I30" t="str">
        <f t="shared" si="2"/>
        <v/>
      </c>
      <c r="J30">
        <f t="shared" si="3"/>
        <v>-1</v>
      </c>
      <c r="O30" t="str">
        <f t="shared" si="5"/>
        <v>Cabo Verde</v>
      </c>
    </row>
    <row r="31" spans="1:15" x14ac:dyDescent="0.25">
      <c r="A31" t="str">
        <f>Grupos!J49</f>
        <v>H</v>
      </c>
      <c r="B31" t="str">
        <f>Grupos!K49</f>
        <v>Cabo Verde</v>
      </c>
      <c r="C31">
        <f>Grupos!T49</f>
        <v>100000.0049</v>
      </c>
      <c r="D31">
        <f>RANK(C31, Grupos!$T$48:$T$51)</f>
        <v>3</v>
      </c>
      <c r="F31" t="str">
        <f t="shared" si="0"/>
        <v/>
      </c>
      <c r="G31">
        <f t="shared" si="1"/>
        <v>-1</v>
      </c>
      <c r="I31" t="str">
        <f t="shared" si="2"/>
        <v>Cabo Verde</v>
      </c>
      <c r="J31">
        <f t="shared" si="3"/>
        <v>100000.0049</v>
      </c>
      <c r="O31" t="str">
        <f t="shared" si="5"/>
        <v>Egipto</v>
      </c>
    </row>
    <row r="32" spans="1:15" x14ac:dyDescent="0.25">
      <c r="A32" t="str">
        <f>Grupos!J50</f>
        <v>H</v>
      </c>
      <c r="B32" t="str">
        <f>Grupos!K50</f>
        <v>Arabia Saud.</v>
      </c>
      <c r="C32">
        <f>Grupos!T50</f>
        <v>100000.005</v>
      </c>
      <c r="D32">
        <f>RANK(C32, Grupos!$T$48:$T$51)</f>
        <v>2</v>
      </c>
      <c r="F32" t="str">
        <f t="shared" si="0"/>
        <v>Arabia Saud.</v>
      </c>
      <c r="G32">
        <f t="shared" si="1"/>
        <v>100000.005</v>
      </c>
      <c r="I32" t="str">
        <f t="shared" si="2"/>
        <v/>
      </c>
      <c r="J32">
        <f t="shared" si="3"/>
        <v>-1</v>
      </c>
      <c r="O32" t="str">
        <f t="shared" si="5"/>
        <v>Japón</v>
      </c>
    </row>
    <row r="33" spans="1:15" x14ac:dyDescent="0.25">
      <c r="A33" t="str">
        <f>Grupos!J51</f>
        <v>H</v>
      </c>
      <c r="B33" t="str">
        <f>Grupos!K51</f>
        <v>Uruguay</v>
      </c>
      <c r="C33">
        <f>Grupos!T51</f>
        <v>100000.00509999999</v>
      </c>
      <c r="D33">
        <f>RANK(C33, Grupos!$T$48:$T$51)</f>
        <v>1</v>
      </c>
      <c r="F33" t="str">
        <f t="shared" si="0"/>
        <v>Uruguay</v>
      </c>
      <c r="G33">
        <f t="shared" si="1"/>
        <v>100000.00509999999</v>
      </c>
      <c r="I33" t="str">
        <f t="shared" si="2"/>
        <v/>
      </c>
      <c r="J33">
        <f t="shared" si="3"/>
        <v>-1</v>
      </c>
      <c r="O33" t="str">
        <f t="shared" si="5"/>
        <v>Curaçao</v>
      </c>
    </row>
    <row r="34" spans="1:15" x14ac:dyDescent="0.25">
      <c r="A34" t="str">
        <f>Grupos!J54</f>
        <v>I</v>
      </c>
      <c r="B34" t="str">
        <f>Grupos!K54</f>
        <v>Francia</v>
      </c>
      <c r="C34">
        <f>Grupos!T54</f>
        <v>100000.00539999999</v>
      </c>
      <c r="D34">
        <f>RANK(C34, Grupos!$T$54:$T$57)</f>
        <v>4</v>
      </c>
      <c r="F34" t="str">
        <f t="shared" si="0"/>
        <v/>
      </c>
      <c r="G34">
        <f t="shared" si="1"/>
        <v>-1</v>
      </c>
      <c r="I34" t="str">
        <f t="shared" si="2"/>
        <v/>
      </c>
      <c r="J34">
        <f t="shared" si="3"/>
        <v>-1</v>
      </c>
    </row>
    <row r="35" spans="1:15" x14ac:dyDescent="0.25">
      <c r="A35" t="str">
        <f>Grupos!J55</f>
        <v>I</v>
      </c>
      <c r="B35" t="str">
        <f>Grupos!K55</f>
        <v>Senegal</v>
      </c>
      <c r="C35">
        <f>Grupos!T55</f>
        <v>100000.0055</v>
      </c>
      <c r="D35">
        <f>RANK(C35, Grupos!$T$54:$T$57)</f>
        <v>3</v>
      </c>
      <c r="F35" t="str">
        <f t="shared" si="0"/>
        <v/>
      </c>
      <c r="G35">
        <f t="shared" si="1"/>
        <v>-1</v>
      </c>
      <c r="I35" t="str">
        <f t="shared" si="2"/>
        <v>Senegal</v>
      </c>
      <c r="J35">
        <f t="shared" si="3"/>
        <v>100000.0055</v>
      </c>
    </row>
    <row r="36" spans="1:15" x14ac:dyDescent="0.25">
      <c r="A36" t="str">
        <f>Grupos!J56</f>
        <v>I</v>
      </c>
      <c r="B36" t="str">
        <f>Grupos!K56</f>
        <v>Irak</v>
      </c>
      <c r="C36">
        <f>Grupos!T56</f>
        <v>100000.0056</v>
      </c>
      <c r="D36">
        <f>RANK(C36, Grupos!$T$54:$T$57)</f>
        <v>2</v>
      </c>
      <c r="F36" t="str">
        <f t="shared" si="0"/>
        <v>Irak</v>
      </c>
      <c r="G36">
        <f t="shared" si="1"/>
        <v>100000.0056</v>
      </c>
      <c r="I36" t="str">
        <f t="shared" si="2"/>
        <v/>
      </c>
      <c r="J36">
        <f t="shared" si="3"/>
        <v>-1</v>
      </c>
    </row>
    <row r="37" spans="1:15" x14ac:dyDescent="0.25">
      <c r="A37" t="str">
        <f>Grupos!J57</f>
        <v>I</v>
      </c>
      <c r="B37" t="str">
        <f>Grupos!K57</f>
        <v>Noruega</v>
      </c>
      <c r="C37">
        <f>Grupos!T57</f>
        <v>100000.00569999999</v>
      </c>
      <c r="D37">
        <f>RANK(C37, Grupos!$T$54:$T$57)</f>
        <v>1</v>
      </c>
      <c r="F37" t="str">
        <f t="shared" si="0"/>
        <v>Noruega</v>
      </c>
      <c r="G37">
        <f t="shared" si="1"/>
        <v>100000.00569999999</v>
      </c>
      <c r="I37" t="str">
        <f t="shared" si="2"/>
        <v/>
      </c>
      <c r="J37">
        <f t="shared" si="3"/>
        <v>-1</v>
      </c>
    </row>
    <row r="38" spans="1:15" x14ac:dyDescent="0.25">
      <c r="A38" t="str">
        <f>Grupos!J60</f>
        <v>J</v>
      </c>
      <c r="B38" t="str">
        <f>Grupos!K60</f>
        <v>Argentina</v>
      </c>
      <c r="C38">
        <f>Grupos!T60</f>
        <v>100000.00599999999</v>
      </c>
      <c r="D38">
        <f>RANK(C38, Grupos!$T$60:$T$63)</f>
        <v>4</v>
      </c>
      <c r="F38" t="str">
        <f t="shared" si="0"/>
        <v/>
      </c>
      <c r="G38">
        <f t="shared" si="1"/>
        <v>-1</v>
      </c>
      <c r="I38" t="str">
        <f t="shared" si="2"/>
        <v/>
      </c>
      <c r="J38">
        <f t="shared" si="3"/>
        <v>-1</v>
      </c>
    </row>
    <row r="39" spans="1:15" x14ac:dyDescent="0.25">
      <c r="A39" t="str">
        <f>Grupos!J61</f>
        <v>J</v>
      </c>
      <c r="B39" t="str">
        <f>Grupos!K61</f>
        <v>Argelia</v>
      </c>
      <c r="C39">
        <f>Grupos!T61</f>
        <v>100000.0061</v>
      </c>
      <c r="D39">
        <f>RANK(C39, Grupos!$T$60:$T$63)</f>
        <v>3</v>
      </c>
      <c r="F39" t="str">
        <f t="shared" si="0"/>
        <v/>
      </c>
      <c r="G39">
        <f t="shared" si="1"/>
        <v>-1</v>
      </c>
      <c r="I39" t="str">
        <f t="shared" si="2"/>
        <v>Argelia</v>
      </c>
      <c r="J39">
        <f t="shared" si="3"/>
        <v>100000.0061</v>
      </c>
    </row>
    <row r="40" spans="1:15" x14ac:dyDescent="0.25">
      <c r="A40" t="str">
        <f>Grupos!J62</f>
        <v>J</v>
      </c>
      <c r="B40" t="str">
        <f>Grupos!K62</f>
        <v>Austria</v>
      </c>
      <c r="C40">
        <f>Grupos!T62</f>
        <v>100000.0062</v>
      </c>
      <c r="D40">
        <f>RANK(C40, Grupos!$T$60:$T$63)</f>
        <v>2</v>
      </c>
      <c r="F40" t="str">
        <f t="shared" si="0"/>
        <v>Austria</v>
      </c>
      <c r="G40">
        <f t="shared" si="1"/>
        <v>100000.0062</v>
      </c>
      <c r="I40" t="str">
        <f t="shared" si="2"/>
        <v/>
      </c>
      <c r="J40">
        <f t="shared" si="3"/>
        <v>-1</v>
      </c>
    </row>
    <row r="41" spans="1:15" x14ac:dyDescent="0.25">
      <c r="A41" t="str">
        <f>Grupos!J63</f>
        <v>J</v>
      </c>
      <c r="B41" t="str">
        <f>Grupos!K63</f>
        <v>Jordania</v>
      </c>
      <c r="C41">
        <f>Grupos!T63</f>
        <v>100000.00629999999</v>
      </c>
      <c r="D41">
        <f>RANK(C41, Grupos!$T$60:$T$63)</f>
        <v>1</v>
      </c>
      <c r="F41" t="str">
        <f t="shared" si="0"/>
        <v>Jordania</v>
      </c>
      <c r="G41">
        <f t="shared" si="1"/>
        <v>100000.00629999999</v>
      </c>
      <c r="I41" t="str">
        <f t="shared" si="2"/>
        <v/>
      </c>
      <c r="J41">
        <f t="shared" si="3"/>
        <v>-1</v>
      </c>
    </row>
    <row r="42" spans="1:15" x14ac:dyDescent="0.25">
      <c r="A42" t="str">
        <f>Grupos!J66</f>
        <v>K</v>
      </c>
      <c r="B42" t="str">
        <f>Grupos!K66</f>
        <v>Portugal</v>
      </c>
      <c r="C42">
        <f>Grupos!T66</f>
        <v>100000.00659999999</v>
      </c>
      <c r="D42">
        <f>RANK(C42, Grupos!$T$66:$T$69)</f>
        <v>4</v>
      </c>
      <c r="F42" t="str">
        <f t="shared" si="0"/>
        <v/>
      </c>
      <c r="G42">
        <f t="shared" si="1"/>
        <v>-1</v>
      </c>
      <c r="I42" t="str">
        <f t="shared" si="2"/>
        <v/>
      </c>
      <c r="J42">
        <f t="shared" si="3"/>
        <v>-1</v>
      </c>
    </row>
    <row r="43" spans="1:15" x14ac:dyDescent="0.25">
      <c r="A43" t="str">
        <f>Grupos!J67</f>
        <v>K</v>
      </c>
      <c r="B43" t="str">
        <f>Grupos!K67</f>
        <v>RD Congo</v>
      </c>
      <c r="C43">
        <f>Grupos!T67</f>
        <v>100000.0067</v>
      </c>
      <c r="D43">
        <f>RANK(C43, Grupos!$T$66:$T$69)</f>
        <v>3</v>
      </c>
      <c r="F43" t="str">
        <f t="shared" si="0"/>
        <v/>
      </c>
      <c r="G43">
        <f t="shared" si="1"/>
        <v>-1</v>
      </c>
      <c r="I43" t="str">
        <f t="shared" si="2"/>
        <v>RD Congo</v>
      </c>
      <c r="J43">
        <f t="shared" si="3"/>
        <v>100000.0067</v>
      </c>
    </row>
    <row r="44" spans="1:15" x14ac:dyDescent="0.25">
      <c r="A44" t="str">
        <f>Grupos!J68</f>
        <v>K</v>
      </c>
      <c r="B44" t="str">
        <f>Grupos!K68</f>
        <v>Uzbekistán</v>
      </c>
      <c r="C44">
        <f>Grupos!T68</f>
        <v>100000.0068</v>
      </c>
      <c r="D44">
        <f>RANK(C44, Grupos!$T$66:$T$69)</f>
        <v>2</v>
      </c>
      <c r="F44" t="str">
        <f t="shared" si="0"/>
        <v>Uzbekistán</v>
      </c>
      <c r="G44">
        <f t="shared" si="1"/>
        <v>100000.0068</v>
      </c>
      <c r="I44" t="str">
        <f t="shared" si="2"/>
        <v/>
      </c>
      <c r="J44">
        <f t="shared" si="3"/>
        <v>-1</v>
      </c>
    </row>
    <row r="45" spans="1:15" x14ac:dyDescent="0.25">
      <c r="A45" t="str">
        <f>Grupos!J69</f>
        <v>K</v>
      </c>
      <c r="B45" t="str">
        <f>Grupos!K69</f>
        <v>Colombia</v>
      </c>
      <c r="C45">
        <f>Grupos!T69</f>
        <v>100000.00689999999</v>
      </c>
      <c r="D45">
        <f>RANK(C45, Grupos!$T$66:$T$69)</f>
        <v>1</v>
      </c>
      <c r="F45" t="str">
        <f t="shared" si="0"/>
        <v>Colombia</v>
      </c>
      <c r="G45">
        <f t="shared" si="1"/>
        <v>100000.00689999999</v>
      </c>
      <c r="I45" t="str">
        <f t="shared" si="2"/>
        <v/>
      </c>
      <c r="J45">
        <f t="shared" si="3"/>
        <v>-1</v>
      </c>
    </row>
    <row r="46" spans="1:15" x14ac:dyDescent="0.25">
      <c r="A46" t="str">
        <f>Grupos!J72</f>
        <v>L</v>
      </c>
      <c r="B46" t="str">
        <f>Grupos!K72</f>
        <v>Inglaterra</v>
      </c>
      <c r="C46">
        <f>Grupos!T72</f>
        <v>100000.00719999999</v>
      </c>
      <c r="D46">
        <f>RANK(C46, Grupos!$T$72:$T$75)</f>
        <v>4</v>
      </c>
      <c r="F46" t="str">
        <f t="shared" si="0"/>
        <v/>
      </c>
      <c r="G46">
        <f t="shared" si="1"/>
        <v>-1</v>
      </c>
      <c r="I46" t="str">
        <f t="shared" si="2"/>
        <v/>
      </c>
      <c r="J46">
        <f t="shared" si="3"/>
        <v>-1</v>
      </c>
    </row>
    <row r="47" spans="1:15" x14ac:dyDescent="0.25">
      <c r="A47" t="str">
        <f>Grupos!J73</f>
        <v>L</v>
      </c>
      <c r="B47" t="str">
        <f>Grupos!K73</f>
        <v>Croacia</v>
      </c>
      <c r="C47">
        <f>Grupos!T73</f>
        <v>100000.0073</v>
      </c>
      <c r="D47">
        <f>RANK(C47, Grupos!$T$72:$T$75)</f>
        <v>3</v>
      </c>
      <c r="F47" t="str">
        <f t="shared" si="0"/>
        <v/>
      </c>
      <c r="G47">
        <f t="shared" si="1"/>
        <v>-1</v>
      </c>
      <c r="I47" t="str">
        <f t="shared" si="2"/>
        <v>Croacia</v>
      </c>
      <c r="J47">
        <f t="shared" si="3"/>
        <v>100000.0073</v>
      </c>
    </row>
    <row r="48" spans="1:15" x14ac:dyDescent="0.25">
      <c r="A48" t="str">
        <f>Grupos!J74</f>
        <v>L</v>
      </c>
      <c r="B48" t="str">
        <f>Grupos!K74</f>
        <v>Ghana</v>
      </c>
      <c r="C48">
        <f>Grupos!T74</f>
        <v>100000.0074</v>
      </c>
      <c r="D48">
        <f>RANK(C48, Grupos!$T$72:$T$75)</f>
        <v>2</v>
      </c>
      <c r="F48" t="str">
        <f t="shared" si="0"/>
        <v>Ghana</v>
      </c>
      <c r="G48">
        <f t="shared" si="1"/>
        <v>100000.0074</v>
      </c>
      <c r="I48" t="str">
        <f t="shared" si="2"/>
        <v/>
      </c>
      <c r="J48">
        <f t="shared" si="3"/>
        <v>-1</v>
      </c>
    </row>
    <row r="49" spans="1:10" x14ac:dyDescent="0.25">
      <c r="A49" t="str">
        <f>Grupos!J75</f>
        <v>L</v>
      </c>
      <c r="B49" t="str">
        <f>Grupos!K75</f>
        <v>Panamá</v>
      </c>
      <c r="C49">
        <f>Grupos!T75</f>
        <v>100000.00750000001</v>
      </c>
      <c r="D49">
        <f>RANK(C49, Grupos!$T$72:$T$75)</f>
        <v>1</v>
      </c>
      <c r="F49" t="str">
        <f t="shared" si="0"/>
        <v>Panamá</v>
      </c>
      <c r="G49">
        <f t="shared" si="1"/>
        <v>100000.00750000001</v>
      </c>
      <c r="I49" t="str">
        <f t="shared" si="2"/>
        <v/>
      </c>
      <c r="J49">
        <f t="shared" si="3"/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tabSelected="1" topLeftCell="A33" workbookViewId="0">
      <selection activeCell="E56" sqref="E56"/>
    </sheetView>
  </sheetViews>
  <sheetFormatPr defaultColWidth="9.140625" defaultRowHeight="15" x14ac:dyDescent="0.25"/>
  <cols>
    <col min="2" max="2" width="20" customWidth="1"/>
    <col min="6" max="7" width="20" customWidth="1"/>
  </cols>
  <sheetData>
    <row r="1" spans="1:8" x14ac:dyDescent="0.25">
      <c r="A1" s="10" t="s">
        <v>0</v>
      </c>
      <c r="B1" s="11"/>
      <c r="C1" s="11"/>
      <c r="D1" s="11"/>
      <c r="E1" s="11"/>
      <c r="F1" s="11"/>
      <c r="G1" s="11"/>
      <c r="H1" s="11"/>
    </row>
    <row r="2" spans="1:8" x14ac:dyDescent="0.25">
      <c r="A2" s="11"/>
      <c r="B2" s="11"/>
      <c r="C2" s="11"/>
      <c r="D2" s="11"/>
      <c r="E2" s="11"/>
      <c r="F2" s="11"/>
      <c r="G2" s="11"/>
      <c r="H2" s="11"/>
    </row>
    <row r="4" spans="1:8" ht="18.75" customHeight="1" x14ac:dyDescent="0.35">
      <c r="A4" s="12" t="s">
        <v>1</v>
      </c>
      <c r="B4" s="11"/>
      <c r="C4" s="11"/>
      <c r="D4" s="11"/>
      <c r="E4" s="11"/>
      <c r="F4" s="11"/>
      <c r="G4" s="11"/>
      <c r="H4" s="11"/>
    </row>
    <row r="5" spans="1:8" ht="16.5" customHeight="1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4</v>
      </c>
      <c r="F5" s="2" t="s">
        <v>6</v>
      </c>
      <c r="G5" s="2" t="s">
        <v>7</v>
      </c>
      <c r="H5" s="2" t="s">
        <v>8</v>
      </c>
    </row>
    <row r="6" spans="1:8" x14ac:dyDescent="0.25">
      <c r="A6" s="6" t="s">
        <v>9</v>
      </c>
      <c r="B6" t="str">
        <f>IF(Backend!O2="","",Backend!O2)</f>
        <v>Panamá</v>
      </c>
      <c r="C6" s="5"/>
      <c r="D6" s="6" t="s">
        <v>10</v>
      </c>
      <c r="E6" s="5"/>
      <c r="F6" t="str">
        <f>IF(Backend!O3="","",Backend!O3)</f>
        <v>Ghana</v>
      </c>
      <c r="G6" t="str">
        <f t="shared" ref="G6:G21" si="0">IF(AND(ISNUMBER(C6),ISNUMBER(E6)),IF(C6&gt;E6,B6,F6),"")</f>
        <v/>
      </c>
    </row>
    <row r="7" spans="1:8" x14ac:dyDescent="0.25">
      <c r="A7" s="6" t="s">
        <v>11</v>
      </c>
      <c r="B7" t="str">
        <f>IF(Backend!O4="","",Backend!O4)</f>
        <v>Colombia</v>
      </c>
      <c r="C7" s="5"/>
      <c r="D7" s="6" t="s">
        <v>10</v>
      </c>
      <c r="E7" s="5"/>
      <c r="F7" t="str">
        <f>IF(Backend!O5="","",Backend!O5)</f>
        <v>Uzbekistán</v>
      </c>
      <c r="G7" t="str">
        <f t="shared" si="0"/>
        <v/>
      </c>
    </row>
    <row r="8" spans="1:8" x14ac:dyDescent="0.25">
      <c r="A8" s="6" t="s">
        <v>12</v>
      </c>
      <c r="B8" t="str">
        <f>IF(Backend!O6="","",Backend!O6)</f>
        <v>Jordania</v>
      </c>
      <c r="C8" s="5"/>
      <c r="D8" s="6" t="s">
        <v>10</v>
      </c>
      <c r="E8" s="5"/>
      <c r="F8" t="str">
        <f>IF(Backend!O7="","",Backend!O7)</f>
        <v>Austria</v>
      </c>
      <c r="G8" t="str">
        <f t="shared" si="0"/>
        <v/>
      </c>
    </row>
    <row r="9" spans="1:8" x14ac:dyDescent="0.25">
      <c r="A9" s="6" t="s">
        <v>13</v>
      </c>
      <c r="B9" t="str">
        <f>IF(Backend!O8="","",Backend!O8)</f>
        <v>Noruega</v>
      </c>
      <c r="C9" s="5"/>
      <c r="D9" s="6" t="s">
        <v>10</v>
      </c>
      <c r="E9" s="5"/>
      <c r="F9" t="str">
        <f>IF(Backend!O9="","",Backend!O9)</f>
        <v>Irak</v>
      </c>
      <c r="G9" t="str">
        <f t="shared" si="0"/>
        <v/>
      </c>
    </row>
    <row r="10" spans="1:8" x14ac:dyDescent="0.25">
      <c r="A10" s="6" t="s">
        <v>14</v>
      </c>
      <c r="B10" t="str">
        <f>IF(Backend!O10="","",Backend!O10)</f>
        <v>Uruguay</v>
      </c>
      <c r="C10" s="5"/>
      <c r="D10" s="6" t="s">
        <v>10</v>
      </c>
      <c r="E10" s="5"/>
      <c r="F10" t="str">
        <f>IF(Backend!O11="","",Backend!O11)</f>
        <v>Arabia Saud.</v>
      </c>
      <c r="G10" t="str">
        <f t="shared" si="0"/>
        <v/>
      </c>
    </row>
    <row r="11" spans="1:8" x14ac:dyDescent="0.25">
      <c r="A11" s="6" t="s">
        <v>15</v>
      </c>
      <c r="B11" t="str">
        <f>IF(Backend!O12="","",Backend!O12)</f>
        <v>Nueva Zelanda</v>
      </c>
      <c r="C11" s="5"/>
      <c r="D11" s="6" t="s">
        <v>10</v>
      </c>
      <c r="E11" s="5"/>
      <c r="F11" t="str">
        <f>IF(Backend!O13="","",Backend!O13)</f>
        <v>Irán</v>
      </c>
      <c r="G11" t="str">
        <f t="shared" si="0"/>
        <v/>
      </c>
    </row>
    <row r="12" spans="1:8" x14ac:dyDescent="0.25">
      <c r="A12" s="6" t="s">
        <v>16</v>
      </c>
      <c r="B12" t="str">
        <f>IF(Backend!O14="","",Backend!O14)</f>
        <v>Túnez</v>
      </c>
      <c r="C12" s="5"/>
      <c r="D12" s="6" t="s">
        <v>10</v>
      </c>
      <c r="E12" s="5"/>
      <c r="F12" t="str">
        <f>IF(Backend!O15="","",Backend!O15)</f>
        <v>Suecia</v>
      </c>
      <c r="G12" t="str">
        <f t="shared" si="0"/>
        <v/>
      </c>
    </row>
    <row r="13" spans="1:8" x14ac:dyDescent="0.25">
      <c r="A13" s="6" t="s">
        <v>17</v>
      </c>
      <c r="B13" t="str">
        <f>IF(Backend!O16="","",Backend!O16)</f>
        <v>Ecuador</v>
      </c>
      <c r="C13" s="5"/>
      <c r="D13" s="6" t="s">
        <v>10</v>
      </c>
      <c r="E13" s="5"/>
      <c r="F13" t="str">
        <f>IF(Backend!O17="","",Backend!O17)</f>
        <v>Costa de Marfil</v>
      </c>
      <c r="G13" t="str">
        <f t="shared" si="0"/>
        <v/>
      </c>
    </row>
    <row r="14" spans="1:8" x14ac:dyDescent="0.25">
      <c r="A14" s="6" t="s">
        <v>18</v>
      </c>
      <c r="B14" t="str">
        <f>IF(Backend!O18="","",Backend!O18)</f>
        <v>Turquía</v>
      </c>
      <c r="C14" s="5"/>
      <c r="D14" s="6" t="s">
        <v>10</v>
      </c>
      <c r="E14" s="5"/>
      <c r="F14" t="str">
        <f>IF(Backend!O19="","",Backend!O19)</f>
        <v>Australia</v>
      </c>
      <c r="G14" t="str">
        <f t="shared" si="0"/>
        <v/>
      </c>
    </row>
    <row r="15" spans="1:8" x14ac:dyDescent="0.25">
      <c r="A15" s="6" t="s">
        <v>19</v>
      </c>
      <c r="B15" t="str">
        <f>IF(Backend!O20="","",Backend!O20)</f>
        <v>Escocia</v>
      </c>
      <c r="C15" s="5"/>
      <c r="D15" s="6" t="s">
        <v>10</v>
      </c>
      <c r="E15" s="5"/>
      <c r="F15" t="str">
        <f>IF(Backend!O21="","",Backend!O21)</f>
        <v>Haití</v>
      </c>
      <c r="G15" t="str">
        <f t="shared" si="0"/>
        <v/>
      </c>
    </row>
    <row r="16" spans="1:8" x14ac:dyDescent="0.25">
      <c r="A16" s="6" t="s">
        <v>20</v>
      </c>
      <c r="B16" t="str">
        <f>IF(Backend!O22="","",Backend!O22)</f>
        <v>Suiza</v>
      </c>
      <c r="C16" s="5"/>
      <c r="D16" s="6" t="s">
        <v>10</v>
      </c>
      <c r="E16" s="5"/>
      <c r="F16" t="str">
        <f>IF(Backend!O23="","",Backend!O23)</f>
        <v>Qatar</v>
      </c>
      <c r="G16" t="str">
        <f t="shared" si="0"/>
        <v/>
      </c>
    </row>
    <row r="17" spans="1:8" x14ac:dyDescent="0.25">
      <c r="A17" s="6" t="s">
        <v>21</v>
      </c>
      <c r="B17" t="str">
        <f>IF(Backend!O24="","",Backend!O24)</f>
        <v>Chequia</v>
      </c>
      <c r="C17" s="5"/>
      <c r="D17" s="6" t="s">
        <v>10</v>
      </c>
      <c r="E17" s="5"/>
      <c r="F17" t="str">
        <f>IF(Backend!O25="","",Backend!O25)</f>
        <v>Corea del Sur</v>
      </c>
      <c r="G17" t="str">
        <f t="shared" si="0"/>
        <v/>
      </c>
    </row>
    <row r="18" spans="1:8" x14ac:dyDescent="0.25">
      <c r="A18" s="6" t="s">
        <v>22</v>
      </c>
      <c r="B18" t="str">
        <f>IF(Backend!O26="","",Backend!O26)</f>
        <v>Croacia</v>
      </c>
      <c r="C18" s="5"/>
      <c r="D18" s="6" t="s">
        <v>10</v>
      </c>
      <c r="E18" s="5"/>
      <c r="F18" t="str">
        <f>IF(Backend!O27="","",Backend!O27)</f>
        <v>RD Congo</v>
      </c>
      <c r="G18" t="str">
        <f t="shared" si="0"/>
        <v/>
      </c>
    </row>
    <row r="19" spans="1:8" x14ac:dyDescent="0.25">
      <c r="A19" s="6" t="s">
        <v>23</v>
      </c>
      <c r="B19" t="str">
        <f>IF(Backend!O28="","",Backend!O28)</f>
        <v>Argelia</v>
      </c>
      <c r="C19" s="5"/>
      <c r="D19" s="6" t="s">
        <v>10</v>
      </c>
      <c r="E19" s="5"/>
      <c r="F19" t="str">
        <f>IF(Backend!O29="","",Backend!O29)</f>
        <v>Senegal</v>
      </c>
      <c r="G19" t="str">
        <f t="shared" si="0"/>
        <v/>
      </c>
    </row>
    <row r="20" spans="1:8" x14ac:dyDescent="0.25">
      <c r="A20" s="6" t="s">
        <v>24</v>
      </c>
      <c r="B20" t="str">
        <f>IF(Backend!O30="","",Backend!O30)</f>
        <v>Cabo Verde</v>
      </c>
      <c r="C20" s="5"/>
      <c r="D20" s="6" t="s">
        <v>10</v>
      </c>
      <c r="E20" s="5"/>
      <c r="F20" t="str">
        <f>IF(Backend!O31="","",Backend!O31)</f>
        <v>Egipto</v>
      </c>
      <c r="G20" t="str">
        <f t="shared" si="0"/>
        <v/>
      </c>
    </row>
    <row r="21" spans="1:8" x14ac:dyDescent="0.25">
      <c r="A21" s="6" t="s">
        <v>25</v>
      </c>
      <c r="B21" t="str">
        <f>IF(Backend!O32="","",Backend!O32)</f>
        <v>Japón</v>
      </c>
      <c r="C21" s="5"/>
      <c r="D21" s="6" t="s">
        <v>10</v>
      </c>
      <c r="E21" s="5"/>
      <c r="F21" t="str">
        <f>IF(Backend!O33="","",Backend!O33)</f>
        <v>Curaçao</v>
      </c>
      <c r="G21" t="str">
        <f t="shared" si="0"/>
        <v/>
      </c>
    </row>
    <row r="23" spans="1:8" ht="18.75" customHeight="1" x14ac:dyDescent="0.35">
      <c r="A23" s="12" t="s">
        <v>26</v>
      </c>
      <c r="B23" s="11"/>
      <c r="C23" s="11"/>
      <c r="D23" s="11"/>
      <c r="E23" s="11"/>
      <c r="F23" s="11"/>
      <c r="G23" s="11"/>
      <c r="H23" s="11"/>
    </row>
    <row r="25" spans="1:8" x14ac:dyDescent="0.25">
      <c r="A25" t="s">
        <v>27</v>
      </c>
      <c r="B25" t="str">
        <f>IF(G6="","",G6)</f>
        <v/>
      </c>
      <c r="C25" s="5"/>
      <c r="D25" s="6" t="s">
        <v>10</v>
      </c>
      <c r="E25" s="5"/>
      <c r="F25" t="str">
        <f>IF(G7="","",G7)</f>
        <v/>
      </c>
      <c r="G25" t="str">
        <f t="shared" ref="G25:G32" si="1">IF(AND(ISNUMBER(C25),ISNUMBER(E25)),IF(C25&gt;E25,B25,F25),"")</f>
        <v/>
      </c>
    </row>
    <row r="26" spans="1:8" x14ac:dyDescent="0.25">
      <c r="A26" t="s">
        <v>28</v>
      </c>
      <c r="B26" t="str">
        <f>IF(G8="","",G8)</f>
        <v/>
      </c>
      <c r="C26" s="5"/>
      <c r="D26" s="6" t="s">
        <v>10</v>
      </c>
      <c r="E26" s="5"/>
      <c r="F26" t="str">
        <f>IF(G9="","",G9)</f>
        <v/>
      </c>
      <c r="G26" t="str">
        <f t="shared" si="1"/>
        <v/>
      </c>
    </row>
    <row r="27" spans="1:8" x14ac:dyDescent="0.25">
      <c r="A27" t="s">
        <v>29</v>
      </c>
      <c r="B27" t="str">
        <f>IF(G10="","",G10)</f>
        <v/>
      </c>
      <c r="C27" s="5"/>
      <c r="D27" s="6" t="s">
        <v>10</v>
      </c>
      <c r="E27" s="5"/>
      <c r="F27" t="str">
        <f>IF(G11="","",G11)</f>
        <v/>
      </c>
      <c r="G27" t="str">
        <f t="shared" si="1"/>
        <v/>
      </c>
    </row>
    <row r="28" spans="1:8" x14ac:dyDescent="0.25">
      <c r="A28" t="s">
        <v>30</v>
      </c>
      <c r="B28" t="str">
        <f>IF(G12="","",G12)</f>
        <v/>
      </c>
      <c r="C28" s="5"/>
      <c r="D28" s="6" t="s">
        <v>10</v>
      </c>
      <c r="E28" s="5"/>
      <c r="F28" t="str">
        <f>IF(G13="","",G13)</f>
        <v/>
      </c>
      <c r="G28" t="str">
        <f t="shared" si="1"/>
        <v/>
      </c>
    </row>
    <row r="29" spans="1:8" x14ac:dyDescent="0.25">
      <c r="A29" t="s">
        <v>31</v>
      </c>
      <c r="B29" t="str">
        <f>IF(G14="","",G14)</f>
        <v/>
      </c>
      <c r="C29" s="5"/>
      <c r="D29" s="6" t="s">
        <v>10</v>
      </c>
      <c r="E29" s="5"/>
      <c r="F29" t="str">
        <f>IF(G15="","",G15)</f>
        <v/>
      </c>
      <c r="G29" t="str">
        <f t="shared" si="1"/>
        <v/>
      </c>
    </row>
    <row r="30" spans="1:8" x14ac:dyDescent="0.25">
      <c r="A30" t="s">
        <v>32</v>
      </c>
      <c r="B30" t="str">
        <f>IF(G16="","",G16)</f>
        <v/>
      </c>
      <c r="C30" s="5"/>
      <c r="D30" s="6" t="s">
        <v>10</v>
      </c>
      <c r="E30" s="5"/>
      <c r="F30" t="str">
        <f>IF(G17="","",G17)</f>
        <v/>
      </c>
      <c r="G30" t="str">
        <f t="shared" si="1"/>
        <v/>
      </c>
    </row>
    <row r="31" spans="1:8" x14ac:dyDescent="0.25">
      <c r="A31" t="s">
        <v>33</v>
      </c>
      <c r="B31" t="str">
        <f>IF(G18="","",G18)</f>
        <v/>
      </c>
      <c r="C31" s="5"/>
      <c r="D31" s="6" t="s">
        <v>10</v>
      </c>
      <c r="E31" s="5"/>
      <c r="F31" t="str">
        <f>IF(G19="","",G19)</f>
        <v/>
      </c>
      <c r="G31" t="str">
        <f t="shared" si="1"/>
        <v/>
      </c>
    </row>
    <row r="32" spans="1:8" x14ac:dyDescent="0.25">
      <c r="A32" t="s">
        <v>34</v>
      </c>
      <c r="B32" t="str">
        <f>IF(G20="","",G20)</f>
        <v/>
      </c>
      <c r="C32" s="5"/>
      <c r="D32" s="6" t="s">
        <v>10</v>
      </c>
      <c r="E32" s="5"/>
      <c r="F32" t="str">
        <f>IF(G21="","",G21)</f>
        <v/>
      </c>
      <c r="G32" t="str">
        <f t="shared" si="1"/>
        <v/>
      </c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ht="18.75" x14ac:dyDescent="0.25">
      <c r="A35" s="15" t="s">
        <v>35</v>
      </c>
      <c r="B35" s="11"/>
      <c r="C35" s="11"/>
      <c r="D35" s="11"/>
      <c r="E35" s="11"/>
      <c r="F35" s="11"/>
      <c r="G35" s="11"/>
      <c r="H35" s="11"/>
    </row>
    <row r="36" spans="1:8" ht="16.5" x14ac:dyDescent="0.25">
      <c r="A36" s="2" t="s">
        <v>2</v>
      </c>
      <c r="B36" s="2" t="s">
        <v>3</v>
      </c>
      <c r="C36" s="2" t="s">
        <v>4</v>
      </c>
      <c r="D36" s="2" t="s">
        <v>5</v>
      </c>
      <c r="E36" s="2" t="s">
        <v>4</v>
      </c>
      <c r="F36" s="2" t="s">
        <v>6</v>
      </c>
      <c r="G36" s="2" t="s">
        <v>7</v>
      </c>
      <c r="H36" s="2" t="s">
        <v>8</v>
      </c>
    </row>
    <row r="37" spans="1:8" x14ac:dyDescent="0.25">
      <c r="A37" s="6" t="s">
        <v>36</v>
      </c>
      <c r="B37" t="str">
        <f>IF(G25="","",G25)</f>
        <v/>
      </c>
      <c r="C37" s="5"/>
      <c r="D37" s="6" t="s">
        <v>10</v>
      </c>
      <c r="E37" s="5"/>
      <c r="F37" t="str">
        <f>IF(G26="","",G26)</f>
        <v/>
      </c>
      <c r="G37" t="str">
        <f>IF(AND(ISNUMBER(C37),ISNUMBER(E37)),IF(C37&gt;E37,B37,F37),"")</f>
        <v/>
      </c>
    </row>
    <row r="38" spans="1:8" x14ac:dyDescent="0.25">
      <c r="A38" s="6" t="s">
        <v>37</v>
      </c>
      <c r="B38" t="str">
        <f>IF(G27="","",G27)</f>
        <v/>
      </c>
      <c r="C38" s="5"/>
      <c r="D38" s="6" t="s">
        <v>10</v>
      </c>
      <c r="E38" s="5"/>
      <c r="F38" t="str">
        <f>IF(G28="","",G28)</f>
        <v/>
      </c>
      <c r="G38" t="str">
        <f>IF(AND(ISNUMBER(C38),ISNUMBER(E38)),IF(C38&gt;E38,B38,F38),"")</f>
        <v/>
      </c>
    </row>
    <row r="39" spans="1:8" x14ac:dyDescent="0.25">
      <c r="A39" s="6" t="s">
        <v>38</v>
      </c>
      <c r="B39" t="str">
        <f>IF(G29="","",G29)</f>
        <v/>
      </c>
      <c r="C39" s="5"/>
      <c r="D39" s="6" t="s">
        <v>10</v>
      </c>
      <c r="E39" s="5"/>
      <c r="F39" t="str">
        <f>IF(G30="","",G30)</f>
        <v/>
      </c>
      <c r="G39" t="str">
        <f>IF(AND(ISNUMBER(C39),ISNUMBER(E39)),IF(C39&gt;E39,B39,F39),"")</f>
        <v/>
      </c>
    </row>
    <row r="40" spans="1:8" x14ac:dyDescent="0.25">
      <c r="A40" s="6" t="s">
        <v>39</v>
      </c>
      <c r="B40" t="str">
        <f>IF(G31="","",G31)</f>
        <v/>
      </c>
      <c r="C40" s="5"/>
      <c r="D40" s="6" t="s">
        <v>10</v>
      </c>
      <c r="E40" s="5"/>
      <c r="F40" t="str">
        <f>IF(G32="","",G32)</f>
        <v/>
      </c>
      <c r="G40" t="str">
        <f>IF(AND(ISNUMBER(C40),ISNUMBER(E40)),IF(C40&gt;E40,B40,F40),"")</f>
        <v/>
      </c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ht="18.75" x14ac:dyDescent="0.25">
      <c r="A43" s="15" t="s">
        <v>40</v>
      </c>
      <c r="B43" s="11"/>
      <c r="C43" s="11"/>
      <c r="D43" s="11"/>
      <c r="E43" s="11"/>
      <c r="F43" s="11"/>
      <c r="G43" s="11"/>
      <c r="H43" s="11"/>
    </row>
    <row r="44" spans="1:8" ht="16.5" x14ac:dyDescent="0.25">
      <c r="A44" s="2" t="s">
        <v>2</v>
      </c>
      <c r="B44" s="2" t="s">
        <v>3</v>
      </c>
      <c r="C44" s="2" t="s">
        <v>4</v>
      </c>
      <c r="D44" s="2" t="s">
        <v>5</v>
      </c>
      <c r="E44" s="2" t="s">
        <v>4</v>
      </c>
      <c r="F44" s="2" t="s">
        <v>6</v>
      </c>
      <c r="G44" s="2" t="s">
        <v>7</v>
      </c>
      <c r="H44" s="2" t="s">
        <v>8</v>
      </c>
    </row>
    <row r="45" spans="1:8" x14ac:dyDescent="0.25">
      <c r="A45" s="6" t="s">
        <v>41</v>
      </c>
      <c r="B45" t="str">
        <f>IF(G37="","",G37)</f>
        <v/>
      </c>
      <c r="C45" s="5"/>
      <c r="D45" s="6" t="s">
        <v>10</v>
      </c>
      <c r="E45" s="5"/>
      <c r="F45" t="str">
        <f>IF(G38="","",G38)</f>
        <v/>
      </c>
      <c r="G45" t="str">
        <f>IF(AND(ISNUMBER(C45),ISNUMBER(E45)),IF(C45&gt;E45,B45,F45),"")</f>
        <v/>
      </c>
    </row>
    <row r="46" spans="1:8" x14ac:dyDescent="0.25">
      <c r="A46" s="6" t="s">
        <v>42</v>
      </c>
      <c r="B46" t="str">
        <f>IF(G39="","",G39)</f>
        <v/>
      </c>
      <c r="C46" s="5"/>
      <c r="D46" s="6" t="s">
        <v>10</v>
      </c>
      <c r="E46" s="5"/>
      <c r="F46" t="str">
        <f>IF(G40="","",G40)</f>
        <v/>
      </c>
      <c r="G46" t="str">
        <f>IF(AND(ISNUMBER(C46),ISNUMBER(E46)),IF(C46&gt;E46,B46,F46),"")</f>
        <v/>
      </c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ht="18.75" x14ac:dyDescent="0.25">
      <c r="A49" s="15" t="s">
        <v>43</v>
      </c>
      <c r="B49" s="11"/>
      <c r="C49" s="11"/>
      <c r="D49" s="11"/>
      <c r="E49" s="11"/>
      <c r="F49" s="11"/>
      <c r="G49" s="11"/>
      <c r="H49" s="11"/>
    </row>
    <row r="50" spans="1:8" ht="16.5" x14ac:dyDescent="0.25">
      <c r="A50" s="2" t="s">
        <v>2</v>
      </c>
      <c r="B50" s="2" t="s">
        <v>3</v>
      </c>
      <c r="C50" s="2" t="s">
        <v>4</v>
      </c>
      <c r="D50" s="2" t="s">
        <v>5</v>
      </c>
      <c r="E50" s="2" t="s">
        <v>4</v>
      </c>
      <c r="F50" s="2" t="s">
        <v>6</v>
      </c>
      <c r="G50" s="2" t="s">
        <v>7</v>
      </c>
      <c r="H50" s="2" t="s">
        <v>8</v>
      </c>
    </row>
    <row r="51" spans="1:8" x14ac:dyDescent="0.25">
      <c r="A51" s="6" t="s">
        <v>44</v>
      </c>
      <c r="B51" t="str">
        <f>IF(G45="","",IF(G45=B45,F45,B45))</f>
        <v/>
      </c>
      <c r="C51" s="5"/>
      <c r="D51" s="6" t="s">
        <v>10</v>
      </c>
      <c r="E51" s="5"/>
      <c r="F51" t="str">
        <f>IF(G46="","",IF(G46=B46,F46,B46))</f>
        <v/>
      </c>
      <c r="G51" t="str">
        <f>IF(AND(ISNUMBER(C51),ISNUMBER(E51)),IF(C51&gt;E51,B51,F51),"")</f>
        <v/>
      </c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ht="18.75" x14ac:dyDescent="0.25">
      <c r="A54" s="15" t="s">
        <v>45</v>
      </c>
      <c r="B54" s="11"/>
      <c r="C54" s="11"/>
      <c r="D54" s="11"/>
      <c r="E54" s="11"/>
      <c r="F54" s="11"/>
      <c r="G54" s="11"/>
      <c r="H54" s="11"/>
    </row>
    <row r="55" spans="1:8" ht="16.5" x14ac:dyDescent="0.25">
      <c r="A55" s="2" t="s">
        <v>2</v>
      </c>
      <c r="B55" s="2" t="s">
        <v>3</v>
      </c>
      <c r="C55" s="2" t="s">
        <v>4</v>
      </c>
      <c r="D55" s="2" t="s">
        <v>5</v>
      </c>
      <c r="E55" s="2" t="s">
        <v>4</v>
      </c>
      <c r="F55" s="2" t="s">
        <v>6</v>
      </c>
      <c r="G55" s="2" t="s">
        <v>7</v>
      </c>
      <c r="H55" s="2" t="s">
        <v>8</v>
      </c>
    </row>
    <row r="56" spans="1:8" x14ac:dyDescent="0.25">
      <c r="A56" s="6" t="s">
        <v>46</v>
      </c>
      <c r="B56" t="str">
        <f>IF(G45="","",G45)</f>
        <v/>
      </c>
      <c r="C56" s="5"/>
      <c r="D56" s="6" t="s">
        <v>10</v>
      </c>
      <c r="E56" s="5"/>
      <c r="F56" t="str">
        <f>IF(G46="","",G46)</f>
        <v/>
      </c>
      <c r="G56" t="str">
        <f>IF(AND(ISNUMBER(C56),ISNUMBER(E56)),IF(C56&gt;E56,B56,F56),"")</f>
        <v/>
      </c>
    </row>
    <row r="57" spans="1:8" x14ac:dyDescent="0.25">
      <c r="A57" s="8"/>
      <c r="B57" s="8"/>
      <c r="C57" s="8"/>
      <c r="D57" s="8"/>
      <c r="E57" s="8"/>
      <c r="F57" s="8"/>
      <c r="G57" s="8"/>
      <c r="H57" s="8"/>
    </row>
    <row r="58" spans="1:8" x14ac:dyDescent="0.25">
      <c r="A58" s="8"/>
      <c r="B58" s="8"/>
      <c r="C58" s="8"/>
      <c r="D58" s="8"/>
      <c r="E58" s="8"/>
      <c r="F58" s="8"/>
      <c r="G58" s="8"/>
      <c r="H58" s="8"/>
    </row>
    <row r="59" spans="1:8" ht="18.75" x14ac:dyDescent="0.25">
      <c r="A59" s="15" t="s">
        <v>47</v>
      </c>
      <c r="B59" s="11"/>
      <c r="C59" s="11"/>
      <c r="D59" s="11"/>
      <c r="E59" s="11"/>
      <c r="F59" s="11"/>
      <c r="G59" s="11"/>
      <c r="H59" s="11"/>
    </row>
    <row r="60" spans="1:8" ht="16.5" x14ac:dyDescent="0.25">
      <c r="A60" s="8"/>
      <c r="B60" s="14" t="s">
        <v>48</v>
      </c>
      <c r="C60" s="14"/>
      <c r="D60" s="14"/>
      <c r="E60" s="14"/>
      <c r="F60" s="9" t="str">
        <f>IF(G56="","",G56)</f>
        <v/>
      </c>
      <c r="G60" s="8"/>
      <c r="H60" s="8"/>
    </row>
    <row r="61" spans="1:8" ht="16.5" x14ac:dyDescent="0.25">
      <c r="A61" s="8"/>
      <c r="B61" s="14" t="s">
        <v>49</v>
      </c>
      <c r="C61" s="14"/>
      <c r="D61" s="14"/>
      <c r="E61" s="14"/>
      <c r="F61" s="9" t="str">
        <f>IF(G56="","",IF(G56=B56,F56,B56))</f>
        <v/>
      </c>
      <c r="G61" s="8"/>
      <c r="H61" s="8"/>
    </row>
    <row r="62" spans="1:8" ht="16.5" x14ac:dyDescent="0.25">
      <c r="A62" s="8"/>
      <c r="B62" s="14" t="s">
        <v>50</v>
      </c>
      <c r="C62" s="14"/>
      <c r="D62" s="14"/>
      <c r="E62" s="14"/>
      <c r="F62" s="9" t="str">
        <f>IF(G51="","",G51)</f>
        <v/>
      </c>
      <c r="G62" s="8"/>
      <c r="H62" s="8"/>
    </row>
  </sheetData>
  <mergeCells count="11">
    <mergeCell ref="B62:E62"/>
    <mergeCell ref="A49:H49"/>
    <mergeCell ref="A23:H23"/>
    <mergeCell ref="A1:H2"/>
    <mergeCell ref="B60:E60"/>
    <mergeCell ref="A4:H4"/>
    <mergeCell ref="B61:E61"/>
    <mergeCell ref="A35:H35"/>
    <mergeCell ref="A59:H59"/>
    <mergeCell ref="A43:H43"/>
    <mergeCell ref="A54:H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Grupos</vt:lpstr>
      <vt:lpstr>Backend</vt:lpstr>
      <vt:lpstr>Eliminatorias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Salvador Velasco Téllez</cp:lastModifiedBy>
  <dcterms:created xsi:type="dcterms:W3CDTF">2026-05-21T20:43:28Z</dcterms:created>
  <dcterms:modified xsi:type="dcterms:W3CDTF">2026-05-30T20:06:05Z</dcterms:modified>
</cp:coreProperties>
</file>