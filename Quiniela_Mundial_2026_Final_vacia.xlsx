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Grupos" sheetId="2" state="visible" r:id="rId2"/>
    <sheet xmlns:r="http://schemas.openxmlformats.org/officeDocument/2006/relationships" name="Mejores Terceros" sheetId="3" state="visible" r:id="rId3"/>
    <sheet xmlns:r="http://schemas.openxmlformats.org/officeDocument/2006/relationships" name="Backend" sheetId="4" state="hidden" r:id="rId4"/>
    <sheet xmlns:r="http://schemas.openxmlformats.org/officeDocument/2006/relationships" name="Eliminatorias" sheetId="5" state="visible" r:id="rId5"/>
    <sheet xmlns:r="http://schemas.openxmlformats.org/officeDocument/2006/relationships" name="Calendario de Juegos" sheetId="6" state="visible" r:id="rId6"/>
    <sheet xmlns:r="http://schemas.openxmlformats.org/officeDocument/2006/relationships" name="Calendario 2" sheetId="7" state="visible" r:id="rId7"/>
    <sheet xmlns:r="http://schemas.openxmlformats.org/officeDocument/2006/relationships" name="RankingFIFA" sheetId="8" state="hidden" r:id="rId8"/>
    <sheet xmlns:r="http://schemas.openxmlformats.org/officeDocument/2006/relationships" name="MatrizTerceros" sheetId="9" state="hidden" r:id="rId9"/>
    <sheet xmlns:r="http://schemas.openxmlformats.org/officeDocument/2006/relationships"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family val="2"/>
      <b val="1"/>
      <color rgb="FFFFFFFF"/>
      <sz val="14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1"/>
    </font>
    <font>
      <name val="Segoe UI"/>
      <family val="2"/>
      <color rgb="FF333333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1"/>
    <xf numFmtId="0" fontId="2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1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4" fillId="6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center" vertical="center"/>
    </xf>
    <xf numFmtId="0" fontId="15" fillId="8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center" vertical="center"/>
    </xf>
    <xf numFmtId="0" fontId="17" fillId="10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2" pivotButton="0" quotePrefix="0" xfId="0"/>
    <xf numFmtId="0" fontId="1" fillId="2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2" fillId="11" borderId="2" pivotButton="0" quotePrefix="0" xfId="0"/>
    <xf numFmtId="0" fontId="13" fillId="6" borderId="2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dxfs count="12"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tabSelected="1" workbookViewId="0">
      <selection activeCell="A16" sqref="A16"/>
    </sheetView>
  </sheetViews>
  <sheetFormatPr baseColWidth="10" defaultColWidth="9.140625" defaultRowHeight="15"/>
  <cols>
    <col width="148" customWidth="1" style="28" min="1" max="1"/>
    <col width="75.42578125" customWidth="1" style="28" min="7" max="7"/>
  </cols>
  <sheetData>
    <row r="1" ht="33.75" customHeight="1" s="28">
      <c r="A1" s="10" t="inlineStr">
        <is>
          <t>QUINIELA MUNDIAL DE FÚTBOL 2026 - 100% AUTOMATIZADA</t>
        </is>
      </c>
    </row>
    <row r="3" ht="16.5" customHeight="1" s="28">
      <c r="A3" s="1" t="inlineStr">
        <is>
          <t>La Copa Mundial de la FIFA 26™ tendrá 48 equipos divididos en doce grupos con cuatro equipos cada uno.</t>
        </is>
      </c>
    </row>
    <row r="4" ht="16.5" customHeight="1" s="28">
      <c r="A4" s="1" t="n"/>
    </row>
    <row r="5" ht="16.5" customHeight="1" s="28">
      <c r="A5" s="1" t="inlineStr">
        <is>
          <t>Los dos primeros de cada grupo y los ocho mejores terceros avanzarán a los dieciseisavos de final.</t>
        </is>
      </c>
    </row>
    <row r="6" ht="16.5" customHeight="1" s="28">
      <c r="A6" s="1" t="n"/>
    </row>
    <row r="7" ht="16.5" customHeight="1" s="28">
      <c r="A7" s="1" t="inlineStr">
        <is>
          <t>Los equipos que lleguen a la final del 19 de julio habrán disputado ocho partidos, uno más que en Catar 2022.</t>
        </is>
      </c>
    </row>
    <row r="8" ht="16.5" customHeight="1" s="28">
      <c r="A8" s="1" t="n"/>
    </row>
    <row r="9" ht="33" customHeight="1" s="28">
      <c r="A9" s="14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28">
      <c r="A10" s="1" t="n"/>
    </row>
    <row r="11" ht="26.25" customHeight="1" s="28">
      <c r="A11" s="10" t="inlineStr">
        <is>
          <t>CÓMO FUNCIONA:</t>
        </is>
      </c>
    </row>
    <row r="13" ht="16.5" customHeight="1" s="28">
      <c r="A13" s="1" t="inlineStr">
        <is>
          <t>1. Pestaña 'Grupos': Ingresa los resultados. Las tablas se calculan en tiempo real.</t>
        </is>
      </c>
    </row>
    <row r="14" ht="16.5" customHeight="1" s="28">
      <c r="A14" s="1" t="inlineStr">
        <is>
          <t>2. Pestaña 'Eliminatorias': Al ir llenando, verás cómo los nombres se auto-completan gracias a la corrección del motor.</t>
        </is>
      </c>
    </row>
    <row r="15" ht="16.5" customHeight="1" s="28">
      <c r="A15" s="1" t="inlineStr">
        <is>
          <t>3. Puedes empezar a llenar y los líderes de cada grupo aparecerán de inmediato.</t>
        </is>
      </c>
    </row>
    <row r="16" ht="16.5" customHeight="1" s="28">
      <c r="A16" s="34" t="inlineStr">
        <is>
          <t>4. Guarda tu quiniela con tu nombre y apellido. Ejemplo: Quiniela_Cristiano_Ronaldo.xlsx, Quiniela_Lionel_Messi.xlsx</t>
        </is>
      </c>
    </row>
    <row r="17" ht="26.25" customHeight="1" s="28">
      <c r="A17" s="10" t="inlineStr">
        <is>
          <t>Sistema de Puntuación</t>
        </is>
      </c>
    </row>
    <row r="18">
      <c r="A18" s="7" t="n"/>
    </row>
    <row r="19" ht="15.75" customHeight="1" s="28">
      <c r="A19" s="15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28">
      <c r="A24" s="15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28">
      <c r="A35" s="15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F94" sqref="F94:F99"/>
    </sheetView>
  </sheetViews>
  <sheetFormatPr baseColWidth="10" defaultColWidth="9.140625" defaultRowHeight="15"/>
  <cols>
    <col width="8" customWidth="1" style="28" min="1" max="1"/>
    <col width="16" customWidth="1" style="28" min="3" max="3"/>
    <col width="16" customWidth="1" style="28" min="7" max="7"/>
    <col width="35" customWidth="1" style="28" min="9" max="9"/>
    <col width="16" customWidth="1" style="28" min="11" max="11"/>
  </cols>
  <sheetData>
    <row r="1">
      <c r="A1" s="30" t="inlineStr">
        <is>
          <t>PARTIDOS DE GRUPOS</t>
        </is>
      </c>
      <c r="J1" s="27" t="inlineStr">
        <is>
          <t>TABLAS DE POSICIONES (AUTOMÁTICAS)</t>
        </is>
      </c>
    </row>
    <row r="2"/>
    <row r="3">
      <c r="I3" t="inlineStr">
        <is>
          <t>Fecha y Hora</t>
        </is>
      </c>
    </row>
    <row r="4" ht="16.5" customHeight="1" s="28">
      <c r="A4" s="2" t="inlineStr">
        <is>
          <t>ID</t>
        </is>
      </c>
      <c r="B4" s="2" t="inlineStr">
        <is>
          <t>Grupo</t>
        </is>
      </c>
      <c r="C4" s="2" t="inlineStr">
        <is>
          <t>Equipo 1</t>
        </is>
      </c>
      <c r="D4" s="2" t="inlineStr">
        <is>
          <t>Goles</t>
        </is>
      </c>
      <c r="E4" s="2" t="inlineStr">
        <is>
          <t>vs</t>
        </is>
      </c>
      <c r="F4" s="2" t="inlineStr">
        <is>
          <t>Goles</t>
        </is>
      </c>
      <c r="G4" s="2" t="inlineStr">
        <is>
          <t>Equipo 2</t>
        </is>
      </c>
      <c r="H4" s="2" t="inlineStr">
        <is>
          <t>Estado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28">
      <c r="A5" s="29" t="inlineStr">
        <is>
          <t>GRUPO A</t>
        </is>
      </c>
      <c r="J5" s="29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I6" t="inlineStr">
        <is>
          <t>Jueves, 11 de junio 2026 - 13:00</t>
        </is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I7" t="inlineStr">
        <is>
          <t>Jueves, 11 de junio 2026 - 20:00</t>
        </is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I8" t="inlineStr">
        <is>
          <t>Jueves, 18 de junio 2026 - 19:00</t>
        </is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I9" t="inlineStr">
        <is>
          <t>Jueves, 18 de junio 2026 - 10:00</t>
        </is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  <c r="I10" t="inlineStr">
        <is>
          <t>Miércoles, 24 de junio 2026 - 19:00</t>
        </is>
      </c>
    </row>
    <row r="11" ht="18.75" customHeight="1" s="28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I11" t="inlineStr">
        <is>
          <t>Miércoles, 24 de junio 2026 - 19:00</t>
        </is>
      </c>
      <c r="J11" s="29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28">
      <c r="A13" s="29" t="inlineStr">
        <is>
          <t>GRUPO B</t>
        </is>
      </c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I14" t="inlineStr">
        <is>
          <t>Viernes, 12 de junio 2026 - 13:00</t>
        </is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I15" t="inlineStr">
        <is>
          <t>Sábado, 13 de junio 2026 - 13:00</t>
        </is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  <c r="I16" t="inlineStr">
        <is>
          <t>Jueves, 18 de junio 2026 - 16:00</t>
        </is>
      </c>
    </row>
    <row r="17" ht="18.75" customHeight="1" s="28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I17" t="inlineStr">
        <is>
          <t>Jueves, 18 de junio 2026 - 13:00</t>
        </is>
      </c>
      <c r="J17" s="29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I18" t="inlineStr">
        <is>
          <t>Miércoles, 24 de junio 2026 - 13:00</t>
        </is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I19" t="inlineStr">
        <is>
          <t>Miércoles, 24 de junio 2026 - 13:00</t>
        </is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28">
      <c r="A21" s="29" t="inlineStr">
        <is>
          <t>GRUPO C</t>
        </is>
      </c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  <c r="I22" t="inlineStr">
        <is>
          <t>Sábado, 13 de junio 2026 - 16:00</t>
        </is>
      </c>
    </row>
    <row r="23" ht="18.75" customHeight="1" s="28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I23" t="inlineStr">
        <is>
          <t>Sábado, 13 de junio 2026 - 19:00</t>
        </is>
      </c>
      <c r="J23" s="29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I24" t="inlineStr">
        <is>
          <t>Viernes, 19 de junio 2026 - 19:00</t>
        </is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I25" t="inlineStr">
        <is>
          <t>Viernes, 19 de junio 2026 - 16:00</t>
        </is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I26" t="inlineStr">
        <is>
          <t>Miércoles, 24 de junio 2026 - 16:00</t>
        </is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I27" t="inlineStr">
        <is>
          <t>Miércoles, 24 de junio 2026 - 16:00</t>
        </is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8"/>
    <row r="29" ht="18.75" customHeight="1" s="28">
      <c r="A29" s="29" t="inlineStr">
        <is>
          <t>GRUPO D</t>
        </is>
      </c>
      <c r="J29" s="29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I30" t="inlineStr">
        <is>
          <t>Viernes, 12 de junio 2026 - 19:00</t>
        </is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I31" t="inlineStr">
        <is>
          <t>Sábado, 13 de junio 2026 - 22:00</t>
        </is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I32" t="inlineStr">
        <is>
          <t>Viernes, 19 de junio 2026 - 13:00</t>
        </is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I33" t="inlineStr">
        <is>
          <t>Viernes, 19 de junio 2026 - 22:00</t>
        </is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  <c r="I34" t="inlineStr">
        <is>
          <t>Jueves, 25 de junio 2026 - 20:00</t>
        </is>
      </c>
    </row>
    <row r="35" ht="18.75" customHeight="1" s="28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I35" t="inlineStr">
        <is>
          <t>Jueves, 25 de junio 2026 - 20:00</t>
        </is>
      </c>
      <c r="J35" s="29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28">
      <c r="A37" s="29" t="inlineStr">
        <is>
          <t>GRUPO E</t>
        </is>
      </c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I38" t="inlineStr">
        <is>
          <t>Domingo, 14 de junio 2026 - 11:00</t>
        </is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I39" t="inlineStr">
        <is>
          <t>Domingo, 14 de junio 2026 - 17:00</t>
        </is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  <c r="I40" t="inlineStr">
        <is>
          <t>Sábado, 20 de junio 2026 - 14:00</t>
        </is>
      </c>
    </row>
    <row r="41" ht="18.75" customHeight="1" s="28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I41" t="inlineStr">
        <is>
          <t>Viernes, 19 de junio 2026 - 14:00</t>
        </is>
      </c>
      <c r="J41" s="29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I42" t="inlineStr">
        <is>
          <t>Jueves, 25 de junio 2026 - 14:00</t>
        </is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I43" t="inlineStr">
        <is>
          <t>Miércoles, 24 de junio 2026 - 14:00</t>
        </is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28">
      <c r="A45" s="29" t="inlineStr">
        <is>
          <t>GRUPO F</t>
        </is>
      </c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  <c r="I46" t="inlineStr">
        <is>
          <t>Domingo, 14 de junio 2026 - 14:00</t>
        </is>
      </c>
    </row>
    <row r="47" ht="18.75" customHeight="1" s="28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I47" t="inlineStr">
        <is>
          <t>Domingo, 14 de junio 2026 - 20:00</t>
        </is>
      </c>
      <c r="J47" s="29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I48" t="inlineStr">
        <is>
          <t>Sábado, 20 de junio 2026 - 11:00</t>
        </is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I49" t="inlineStr">
        <is>
          <t>Sábado, 20 de junio 2026 - 22:00</t>
        </is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I50" t="inlineStr">
        <is>
          <t>Jueves, 25 de junio 2026 - 17:00</t>
        </is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I51" t="inlineStr">
        <is>
          <t>Jueves, 25 de junio 2026 - 17:00</t>
        </is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2"/>
    <row r="53" ht="18.75" customHeight="1" s="28">
      <c r="A53" s="29" t="inlineStr">
        <is>
          <t>GRUPO G</t>
        </is>
      </c>
      <c r="J53" s="29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I54" t="inlineStr">
        <is>
          <t>Lunes, 15 de junio 2026 - 13:00</t>
        </is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I55" t="inlineStr">
        <is>
          <t>Lunes, 15 de junio 2026 - 19:00</t>
        </is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I56" t="inlineStr">
        <is>
          <t>Domingo, 21 de junio 2026 - 13:00</t>
        </is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I57" t="inlineStr">
        <is>
          <t>Domingo, 21 de junio 2026 - 19:00</t>
        </is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  <c r="I58" t="inlineStr">
        <is>
          <t>Viernes, 26 de junio 2026 - 21:00</t>
        </is>
      </c>
    </row>
    <row r="59" ht="18.75" customHeight="1" s="28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I59" t="inlineStr">
        <is>
          <t>Viernes, 26 de junio 2026 - 21:00</t>
        </is>
      </c>
      <c r="J59" s="29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28">
      <c r="A61" s="29" t="inlineStr">
        <is>
          <t>GRUPO H</t>
        </is>
      </c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I62" t="inlineStr">
        <is>
          <t>Lunes, 15 de junio 2026 - 10:00</t>
        </is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I63" t="inlineStr">
        <is>
          <t>Lunes, 15 de junio 2026 - 16:00</t>
        </is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  <c r="I64" t="inlineStr">
        <is>
          <t>Domingo, 21 de junio 2026 - 10:00</t>
        </is>
      </c>
    </row>
    <row r="65" ht="18.75" customHeight="1" s="28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I65" t="inlineStr">
        <is>
          <t>Domingo, 21 de junio 2026 - 16:00</t>
        </is>
      </c>
      <c r="J65" s="29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I66" t="inlineStr">
        <is>
          <t>Viernes, 26 de junio 2026 - 18:00</t>
        </is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I67" t="inlineStr">
        <is>
          <t>Viernes, 26 de junio 2026 - 18:00</t>
        </is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28">
      <c r="A69" s="29" t="inlineStr">
        <is>
          <t>GRUPO I</t>
        </is>
      </c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  <c r="I70" t="inlineStr">
        <is>
          <t>Martes, 16 de junio 2026 - 13:00</t>
        </is>
      </c>
    </row>
    <row r="71" ht="18.75" customHeight="1" s="28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I71" t="inlineStr">
        <is>
          <t>Martes, 16 de junio 2026 - 16:00</t>
        </is>
      </c>
      <c r="J71" s="29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I72" t="inlineStr">
        <is>
          <t>Lunes, 22 de junio 2026 - 15:00</t>
        </is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I73" t="inlineStr">
        <is>
          <t>Lunes, 22 de junio 2026 - 18:00</t>
        </is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I74" t="inlineStr">
        <is>
          <t>Viernes, 26 de junio 2026 - 13:00</t>
        </is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I75" t="inlineStr">
        <is>
          <t>Viernes, 26 de junio 2026 - 13:00</t>
        </is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6"/>
    <row r="77" ht="18.75" customHeight="1" s="28">
      <c r="A77" s="29" t="inlineStr">
        <is>
          <t>GRUPO J</t>
        </is>
      </c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  <c r="I78" t="inlineStr">
        <is>
          <t>Martes, 16 de junio 2026 - 19:00</t>
        </is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  <c r="I79" t="inlineStr">
        <is>
          <t>Martes, 16 de junio 2026 - 22:00</t>
        </is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  <c r="I80" t="inlineStr">
        <is>
          <t>Lunes, 22 de junio 2026 - 11:00</t>
        </is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  <c r="I81" t="inlineStr">
        <is>
          <t>Lunes, 22 de junio 2026 - 21:00</t>
        </is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  <c r="I82" t="inlineStr">
        <is>
          <t>Sábado, 27 de junio 2026 - 20:00</t>
        </is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  <c r="I83" t="inlineStr">
        <is>
          <t>Sábado, 27 de junio 2026 - 20:00</t>
        </is>
      </c>
    </row>
    <row r="84"/>
    <row r="85" ht="18.75" customHeight="1" s="28">
      <c r="A85" s="29" t="inlineStr">
        <is>
          <t>GRUPO K</t>
        </is>
      </c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  <c r="I86" t="inlineStr">
        <is>
          <t>Miércoles, 17 de junio 2026 - 11:00</t>
        </is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  <c r="I87" t="inlineStr">
        <is>
          <t>Miércoles, 17 de junio 2026 - 20:00</t>
        </is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  <c r="I88" t="inlineStr">
        <is>
          <t>Martes, 23 de junio 2026 - 11:00</t>
        </is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  <c r="I89" t="inlineStr">
        <is>
          <t>Martes, 23 de junio 2026 - 20:00</t>
        </is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  <c r="I90" t="inlineStr">
        <is>
          <t>Sábado, 27 de junio 2026 - 17:30</t>
        </is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  <c r="I91" t="inlineStr">
        <is>
          <t>Sábado, 27 de junio 2026 - 17:30</t>
        </is>
      </c>
    </row>
    <row r="92"/>
    <row r="93" ht="18.75" customHeight="1" s="28">
      <c r="A93" s="29" t="inlineStr">
        <is>
          <t>GRUPO L</t>
        </is>
      </c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  <c r="I94" t="inlineStr">
        <is>
          <t>Miércoles, 17 de junio 2026 - 14:00</t>
        </is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  <c r="I95" t="inlineStr">
        <is>
          <t>Miércoles, 17 de junio 2026 - 17:00</t>
        </is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  <c r="I96" t="inlineStr">
        <is>
          <t>Martes, 23 de junio 2026 - 14:00</t>
        </is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  <c r="I97" t="inlineStr">
        <is>
          <t>Martes, 23 de junio 2026 - 17:00</t>
        </is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  <c r="I98" t="inlineStr">
        <is>
          <t>Sábado, 27 de junio 2026 - 15:00</t>
        </is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  <c r="I99" t="inlineStr">
        <is>
          <t>Sábado, 27 de junio 2026 - 15:00</t>
        </is>
      </c>
    </row>
  </sheetData>
  <mergeCells count="26">
    <mergeCell ref="J1:S2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A93:H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28" min="1" max="1"/>
    <col width="12" customWidth="1" style="28" min="2" max="3"/>
    <col width="25" customWidth="1" style="28" min="4" max="4"/>
    <col width="10" customWidth="1" style="28" min="5" max="6"/>
    <col width="25" customWidth="1" style="28" min="7" max="7"/>
  </cols>
  <sheetData>
    <row r="2">
      <c r="B2" s="35" t="inlineStr">
        <is>
          <t>RANKING DE MEJORES TERCEROS LUGARES</t>
        </is>
      </c>
    </row>
    <row r="3"/>
    <row r="5" ht="16.5" customHeight="1" s="28">
      <c r="B5" s="19" t="inlineStr">
        <is>
          <t>Posición</t>
        </is>
      </c>
      <c r="C5" s="19" t="inlineStr">
        <is>
          <t>Grupo</t>
        </is>
      </c>
      <c r="D5" s="19" t="inlineStr">
        <is>
          <t>Equipo</t>
        </is>
      </c>
      <c r="E5" s="19" t="inlineStr">
        <is>
          <t>PTS</t>
        </is>
      </c>
      <c r="F5" s="19" t="inlineStr">
        <is>
          <t>DIF</t>
        </is>
      </c>
      <c r="G5" s="19" t="inlineStr">
        <is>
          <t>Clasifica a 16avos</t>
        </is>
      </c>
    </row>
    <row r="6" ht="16.5" customHeight="1" s="28">
      <c r="B6" s="20" t="n">
        <v>1</v>
      </c>
      <c r="C6" s="20">
        <f>Backend!B16</f>
        <v/>
      </c>
      <c r="D6" s="21">
        <f>Backend!C16</f>
        <v/>
      </c>
      <c r="E6" s="20">
        <f>IF(D6="","",VLOOKUP(D6, Grupos!$K$6:$S$77, 9, FALSE))</f>
        <v/>
      </c>
      <c r="F6" s="20">
        <f>IF(D6="","",VLOOKUP(D6, Grupos!$K$6:$R$77, 8, FALSE))</f>
        <v/>
      </c>
      <c r="G6" s="22">
        <f>IF(Backend!C16="","",IF(1&lt;=8, "✅ Avanza", "❌ Eliminado"))</f>
        <v/>
      </c>
    </row>
    <row r="7" ht="16.5" customHeight="1" s="28">
      <c r="B7" s="23" t="n">
        <v>2</v>
      </c>
      <c r="C7" s="23">
        <f>Backend!B17</f>
        <v/>
      </c>
      <c r="D7" s="24">
        <f>Backend!C17</f>
        <v/>
      </c>
      <c r="E7" s="23">
        <f>IF(D7="","",VLOOKUP(D7, Grupos!$K$6:$S$77, 9, FALSE))</f>
        <v/>
      </c>
      <c r="F7" s="23">
        <f>IF(D7="","",VLOOKUP(D7, Grupos!$K$6:$R$77, 8, FALSE))</f>
        <v/>
      </c>
      <c r="G7" s="22">
        <f>IF(Backend!C17="","",IF(2&lt;=8, "✅ Avanza", "❌ Eliminado"))</f>
        <v/>
      </c>
    </row>
    <row r="8" ht="16.5" customHeight="1" s="28">
      <c r="B8" s="20" t="n">
        <v>3</v>
      </c>
      <c r="C8" s="20">
        <f>Backend!B18</f>
        <v/>
      </c>
      <c r="D8" s="21">
        <f>Backend!C18</f>
        <v/>
      </c>
      <c r="E8" s="20">
        <f>IF(D8="","",VLOOKUP(D8, Grupos!$K$6:$S$77, 9, FALSE))</f>
        <v/>
      </c>
      <c r="F8" s="20">
        <f>IF(D8="","",VLOOKUP(D8, Grupos!$K$6:$R$77, 8, FALSE))</f>
        <v/>
      </c>
      <c r="G8" s="22">
        <f>IF(Backend!C18="","",IF(3&lt;=8, "✅ Avanza", "❌ Eliminado"))</f>
        <v/>
      </c>
    </row>
    <row r="9" ht="16.5" customHeight="1" s="28">
      <c r="B9" s="23" t="n">
        <v>4</v>
      </c>
      <c r="C9" s="23">
        <f>Backend!B19</f>
        <v/>
      </c>
      <c r="D9" s="24">
        <f>Backend!C19</f>
        <v/>
      </c>
      <c r="E9" s="23">
        <f>IF(D9="","",VLOOKUP(D9, Grupos!$K$6:$S$77, 9, FALSE))</f>
        <v/>
      </c>
      <c r="F9" s="23">
        <f>IF(D9="","",VLOOKUP(D9, Grupos!$K$6:$R$77, 8, FALSE))</f>
        <v/>
      </c>
      <c r="G9" s="22">
        <f>IF(Backend!C19="","",IF(4&lt;=8, "✅ Avanza", "❌ Eliminado"))</f>
        <v/>
      </c>
    </row>
    <row r="10" ht="16.5" customHeight="1" s="28">
      <c r="B10" s="20" t="n">
        <v>5</v>
      </c>
      <c r="C10" s="20">
        <f>Backend!B20</f>
        <v/>
      </c>
      <c r="D10" s="21">
        <f>Backend!C20</f>
        <v/>
      </c>
      <c r="E10" s="20">
        <f>IF(D10="","",VLOOKUP(D10, Grupos!$K$6:$S$77, 9, FALSE))</f>
        <v/>
      </c>
      <c r="F10" s="20">
        <f>IF(D10="","",VLOOKUP(D10, Grupos!$K$6:$R$77, 8, FALSE))</f>
        <v/>
      </c>
      <c r="G10" s="22">
        <f>IF(Backend!C20="","",IF(5&lt;=8, "✅ Avanza", "❌ Eliminado"))</f>
        <v/>
      </c>
    </row>
    <row r="11" ht="16.5" customHeight="1" s="28">
      <c r="B11" s="23" t="n">
        <v>6</v>
      </c>
      <c r="C11" s="23">
        <f>Backend!B21</f>
        <v/>
      </c>
      <c r="D11" s="24">
        <f>Backend!C21</f>
        <v/>
      </c>
      <c r="E11" s="23">
        <f>IF(D11="","",VLOOKUP(D11, Grupos!$K$6:$S$77, 9, FALSE))</f>
        <v/>
      </c>
      <c r="F11" s="23">
        <f>IF(D11="","",VLOOKUP(D11, Grupos!$K$6:$R$77, 8, FALSE))</f>
        <v/>
      </c>
      <c r="G11" s="22">
        <f>IF(Backend!C21="","",IF(6&lt;=8, "✅ Avanza", "❌ Eliminado"))</f>
        <v/>
      </c>
    </row>
    <row r="12" ht="16.5" customHeight="1" s="28">
      <c r="B12" s="20" t="n">
        <v>7</v>
      </c>
      <c r="C12" s="20">
        <f>Backend!B22</f>
        <v/>
      </c>
      <c r="D12" s="21">
        <f>Backend!C22</f>
        <v/>
      </c>
      <c r="E12" s="20">
        <f>IF(D12="","",VLOOKUP(D12, Grupos!$K$6:$S$77, 9, FALSE))</f>
        <v/>
      </c>
      <c r="F12" s="20">
        <f>IF(D12="","",VLOOKUP(D12, Grupos!$K$6:$R$77, 8, FALSE))</f>
        <v/>
      </c>
      <c r="G12" s="22">
        <f>IF(Backend!C22="","",IF(7&lt;=8, "✅ Avanza", "❌ Eliminado"))</f>
        <v/>
      </c>
    </row>
    <row r="13" ht="16.5" customHeight="1" s="28">
      <c r="B13" s="23" t="n">
        <v>8</v>
      </c>
      <c r="C13" s="23">
        <f>Backend!B23</f>
        <v/>
      </c>
      <c r="D13" s="24">
        <f>Backend!C23</f>
        <v/>
      </c>
      <c r="E13" s="23">
        <f>IF(D13="","",VLOOKUP(D13, Grupos!$K$6:$S$77, 9, FALSE))</f>
        <v/>
      </c>
      <c r="F13" s="23">
        <f>IF(D13="","",VLOOKUP(D13, Grupos!$K$6:$R$77, 8, FALSE))</f>
        <v/>
      </c>
      <c r="G13" s="22">
        <f>IF(Backend!C23="","",IF(8&lt;=8, "✅ Avanza", "❌ Eliminado"))</f>
        <v/>
      </c>
    </row>
    <row r="14" ht="16.5" customHeight="1" s="28">
      <c r="B14" s="20" t="n">
        <v>9</v>
      </c>
      <c r="C14" s="20">
        <f>Backend!B24</f>
        <v/>
      </c>
      <c r="D14" s="21">
        <f>Backend!C24</f>
        <v/>
      </c>
      <c r="E14" s="20">
        <f>IF(D14="","",VLOOKUP(D14, Grupos!$K$6:$S$77, 9, FALSE))</f>
        <v/>
      </c>
      <c r="F14" s="20">
        <f>IF(D14="","",VLOOKUP(D14, Grupos!$K$6:$R$77, 8, FALSE))</f>
        <v/>
      </c>
      <c r="G14" s="25">
        <f>IF(Backend!C24="","",IF(9&lt;=8, "✅ Avanza", "❌ Eliminado"))</f>
        <v/>
      </c>
    </row>
    <row r="15" ht="16.5" customHeight="1" s="28">
      <c r="B15" s="23" t="n">
        <v>10</v>
      </c>
      <c r="C15" s="23">
        <f>Backend!B25</f>
        <v/>
      </c>
      <c r="D15" s="24">
        <f>Backend!C25</f>
        <v/>
      </c>
      <c r="E15" s="23">
        <f>IF(D15="","",VLOOKUP(D15, Grupos!$K$6:$S$77, 9, FALSE))</f>
        <v/>
      </c>
      <c r="F15" s="23">
        <f>IF(D15="","",VLOOKUP(D15, Grupos!$K$6:$R$77, 8, FALSE))</f>
        <v/>
      </c>
      <c r="G15" s="25">
        <f>IF(Backend!C25="","",IF(10&lt;=8, "✅ Avanza", "❌ Eliminado"))</f>
        <v/>
      </c>
    </row>
    <row r="16" ht="16.5" customHeight="1" s="28">
      <c r="B16" s="20" t="n">
        <v>11</v>
      </c>
      <c r="C16" s="20">
        <f>Backend!B26</f>
        <v/>
      </c>
      <c r="D16" s="21">
        <f>Backend!C26</f>
        <v/>
      </c>
      <c r="E16" s="20">
        <f>IF(D16="","",VLOOKUP(D16, Grupos!$K$6:$S$77, 9, FALSE))</f>
        <v/>
      </c>
      <c r="F16" s="20">
        <f>IF(D16="","",VLOOKUP(D16, Grupos!$K$6:$R$77, 8, FALSE))</f>
        <v/>
      </c>
      <c r="G16" s="25">
        <f>IF(Backend!C26="","",IF(11&lt;=8, "✅ Avanza", "❌ Eliminado"))</f>
        <v/>
      </c>
    </row>
    <row r="17" ht="16.5" customHeight="1" s="28">
      <c r="B17" s="23" t="n">
        <v>12</v>
      </c>
      <c r="C17" s="23">
        <f>Backend!B27</f>
        <v/>
      </c>
      <c r="D17" s="24">
        <f>Backend!C27</f>
        <v/>
      </c>
      <c r="E17" s="23">
        <f>IF(D17="","",VLOOKUP(D17, Grupos!$K$6:$S$77, 9, FALSE))</f>
        <v/>
      </c>
      <c r="F17" s="23">
        <f>IF(D17="","",VLOOKUP(D17, Grupos!$K$6:$R$77, 8, FALSE))</f>
        <v/>
      </c>
      <c r="G17" s="25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E56" sqref="E56"/>
    </sheetView>
  </sheetViews>
  <sheetFormatPr baseColWidth="10" defaultColWidth="9.140625" defaultRowHeight="15"/>
  <cols>
    <col width="20" customWidth="1" style="28" min="2" max="2"/>
    <col width="6" customWidth="1" style="28" min="3" max="4"/>
    <col width="3" customWidth="1" style="28" min="5" max="5"/>
    <col width="6" customWidth="1" style="28" min="6" max="7"/>
    <col width="18" customWidth="1" style="28" min="8" max="9"/>
  </cols>
  <sheetData>
    <row r="1">
      <c r="A1" s="30" t="inlineStr">
        <is>
          <t>FASE FINAL (ELIMINACIÓN DIRECTA)</t>
        </is>
      </c>
    </row>
    <row r="2"/>
    <row r="4" ht="18.75" customHeight="1" s="28">
      <c r="A4" s="29" t="inlineStr">
        <is>
          <t>DIECISEISAVOS DE FINAL (Ronda de 32)</t>
        </is>
      </c>
    </row>
    <row r="5" ht="16.5" customHeight="1" s="28">
      <c r="A5" s="2" t="inlineStr">
        <is>
          <t>Partido</t>
        </is>
      </c>
      <c r="B5" s="2" t="inlineStr">
        <is>
          <t>Equipo A</t>
        </is>
      </c>
      <c r="C5" s="2" t="inlineStr">
        <is>
          <t>Goles</t>
        </is>
      </c>
      <c r="D5" s="6" t="inlineStr">
        <is>
          <t>Pen.</t>
        </is>
      </c>
      <c r="E5" s="2" t="inlineStr">
        <is>
          <t>vs</t>
        </is>
      </c>
      <c r="F5" s="6" t="inlineStr">
        <is>
          <t>Pen.</t>
        </is>
      </c>
      <c r="G5" s="2" t="inlineStr">
        <is>
          <t>Goles</t>
        </is>
      </c>
      <c r="H5" s="2" t="inlineStr">
        <is>
          <t>Equipo B</t>
        </is>
      </c>
      <c r="I5" s="2" t="inlineStr">
        <is>
          <t>Clasifica</t>
        </is>
      </c>
    </row>
    <row r="6">
      <c r="A6" s="6" t="inlineStr">
        <is>
          <t>1/16 - P1</t>
        </is>
      </c>
      <c r="B6">
        <f>Backend!C2</f>
        <v/>
      </c>
      <c r="C6" s="5" t="n"/>
      <c r="D6" s="26" t="n"/>
      <c r="E6" s="6" t="inlineStr">
        <is>
          <t>-</t>
        </is>
      </c>
      <c r="F6" s="26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</row>
    <row r="7">
      <c r="A7" s="6" t="inlineStr">
        <is>
          <t>1/16 - P2</t>
        </is>
      </c>
      <c r="B7">
        <f>Backend!B7</f>
        <v/>
      </c>
      <c r="C7" s="5" t="n"/>
      <c r="D7" s="26" t="n"/>
      <c r="E7" s="6" t="inlineStr">
        <is>
          <t>-</t>
        </is>
      </c>
      <c r="F7" s="26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</row>
    <row r="8">
      <c r="A8" s="6" t="inlineStr">
        <is>
          <t>1/16 - P3</t>
        </is>
      </c>
      <c r="B8">
        <f>Backend!B6</f>
        <v/>
      </c>
      <c r="C8" s="5" t="n"/>
      <c r="D8" s="26" t="n"/>
      <c r="E8" s="6" t="inlineStr">
        <is>
          <t>-</t>
        </is>
      </c>
      <c r="F8" s="26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</row>
    <row r="9">
      <c r="A9" s="6" t="inlineStr">
        <is>
          <t>1/16 - P4</t>
        </is>
      </c>
      <c r="B9">
        <f>Backend!B10</f>
        <v/>
      </c>
      <c r="C9" s="5" t="n"/>
      <c r="D9" s="26" t="n"/>
      <c r="E9" s="6" t="inlineStr">
        <is>
          <t>-</t>
        </is>
      </c>
      <c r="F9" s="26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</row>
    <row r="10">
      <c r="A10" s="6" t="inlineStr">
        <is>
          <t>1/16 - P5</t>
        </is>
      </c>
      <c r="B10">
        <f>Backend!B4</f>
        <v/>
      </c>
      <c r="C10" s="5" t="n"/>
      <c r="D10" s="26" t="n"/>
      <c r="E10" s="6" t="inlineStr">
        <is>
          <t>-</t>
        </is>
      </c>
      <c r="F10" s="26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</row>
    <row r="11">
      <c r="A11" s="6" t="inlineStr">
        <is>
          <t>1/16 - P6</t>
        </is>
      </c>
      <c r="B11">
        <f>Backend!C6</f>
        <v/>
      </c>
      <c r="C11" s="5" t="n"/>
      <c r="D11" s="26" t="n"/>
      <c r="E11" s="6" t="inlineStr">
        <is>
          <t>-</t>
        </is>
      </c>
      <c r="F11" s="26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</row>
    <row r="12">
      <c r="A12" s="6" t="inlineStr">
        <is>
          <t>1/16 - P7</t>
        </is>
      </c>
      <c r="B12">
        <f>Backend!B2</f>
        <v/>
      </c>
      <c r="C12" s="5" t="n"/>
      <c r="D12" s="26" t="n"/>
      <c r="E12" s="6" t="inlineStr">
        <is>
          <t>-</t>
        </is>
      </c>
      <c r="F12" s="26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</row>
    <row r="13">
      <c r="A13" s="6" t="inlineStr">
        <is>
          <t>1/16 - P8</t>
        </is>
      </c>
      <c r="B13">
        <f>Backend!B13</f>
        <v/>
      </c>
      <c r="C13" s="5" t="n"/>
      <c r="D13" s="26" t="n"/>
      <c r="E13" s="6" t="inlineStr">
        <is>
          <t>-</t>
        </is>
      </c>
      <c r="F13" s="26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</row>
    <row r="14">
      <c r="A14" s="6" t="inlineStr">
        <is>
          <t>1/16 - P9</t>
        </is>
      </c>
      <c r="B14">
        <f>Backend!B5</f>
        <v/>
      </c>
      <c r="C14" s="5" t="n"/>
      <c r="D14" s="26" t="n"/>
      <c r="E14" s="6" t="inlineStr">
        <is>
          <t>-</t>
        </is>
      </c>
      <c r="F14" s="26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</row>
    <row r="15">
      <c r="A15" s="6" t="inlineStr">
        <is>
          <t>1/16 - P10</t>
        </is>
      </c>
      <c r="B15">
        <f>Backend!B8</f>
        <v/>
      </c>
      <c r="C15" s="5" t="n"/>
      <c r="D15" s="26" t="n"/>
      <c r="E15" s="6" t="inlineStr">
        <is>
          <t>-</t>
        </is>
      </c>
      <c r="F15" s="26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</row>
    <row r="16">
      <c r="A16" s="6" t="inlineStr">
        <is>
          <t>1/16 - P11</t>
        </is>
      </c>
      <c r="B16">
        <f>Backend!C12</f>
        <v/>
      </c>
      <c r="C16" s="5" t="n"/>
      <c r="D16" s="26" t="n"/>
      <c r="E16" s="6" t="inlineStr">
        <is>
          <t>-</t>
        </is>
      </c>
      <c r="F16" s="26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</row>
    <row r="17">
      <c r="A17" s="6" t="inlineStr">
        <is>
          <t>1/16 - P12</t>
        </is>
      </c>
      <c r="B17">
        <f>Backend!B9</f>
        <v/>
      </c>
      <c r="C17" s="5" t="n"/>
      <c r="D17" s="26" t="n"/>
      <c r="E17" s="6" t="inlineStr">
        <is>
          <t>-</t>
        </is>
      </c>
      <c r="F17" s="26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</row>
    <row r="18">
      <c r="A18" s="6" t="inlineStr">
        <is>
          <t>1/16 - P13</t>
        </is>
      </c>
      <c r="B18">
        <f>Backend!B3</f>
        <v/>
      </c>
      <c r="C18" s="5" t="n"/>
      <c r="D18" s="26" t="n"/>
      <c r="E18" s="6" t="inlineStr">
        <is>
          <t>-</t>
        </is>
      </c>
      <c r="F18" s="26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</row>
    <row r="19">
      <c r="A19" s="6" t="inlineStr">
        <is>
          <t>1/16 - P14</t>
        </is>
      </c>
      <c r="B19">
        <f>Backend!B12</f>
        <v/>
      </c>
      <c r="C19" s="5" t="n"/>
      <c r="D19" s="26" t="n"/>
      <c r="E19" s="6" t="inlineStr">
        <is>
          <t>-</t>
        </is>
      </c>
      <c r="F19" s="26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</row>
    <row r="20">
      <c r="A20" s="6" t="inlineStr">
        <is>
          <t>1/16 - P15</t>
        </is>
      </c>
      <c r="B20">
        <f>Backend!B11</f>
        <v/>
      </c>
      <c r="C20" s="5" t="n"/>
      <c r="D20" s="26" t="n"/>
      <c r="E20" s="6" t="inlineStr">
        <is>
          <t>-</t>
        </is>
      </c>
      <c r="F20" s="26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</row>
    <row r="21">
      <c r="A21" s="6" t="inlineStr">
        <is>
          <t>1/16 - P16</t>
        </is>
      </c>
      <c r="B21">
        <f>Backend!C5</f>
        <v/>
      </c>
      <c r="C21" s="5" t="n"/>
      <c r="D21" s="26" t="n"/>
      <c r="E21" s="6" t="inlineStr">
        <is>
          <t>-</t>
        </is>
      </c>
      <c r="F21" s="26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</row>
    <row r="23" ht="18.75" customHeight="1" s="28">
      <c r="A23" s="29" t="inlineStr">
        <is>
          <t>OCTAVOS DE FINAL</t>
        </is>
      </c>
    </row>
    <row r="25">
      <c r="A25" t="inlineStr">
        <is>
          <t>1/8 - P1</t>
        </is>
      </c>
      <c r="B25">
        <f>I6</f>
        <v/>
      </c>
      <c r="C25" s="5" t="n"/>
      <c r="D25" s="26" t="n"/>
      <c r="E25" s="6" t="inlineStr">
        <is>
          <t>-</t>
        </is>
      </c>
      <c r="F25" s="26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</row>
    <row r="26">
      <c r="A26" t="inlineStr">
        <is>
          <t>1/8 - P2</t>
        </is>
      </c>
      <c r="B26">
        <f>I8</f>
        <v/>
      </c>
      <c r="C26" s="5" t="n"/>
      <c r="D26" s="26" t="n"/>
      <c r="E26" s="6" t="inlineStr">
        <is>
          <t>-</t>
        </is>
      </c>
      <c r="F26" s="26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</row>
    <row r="27">
      <c r="A27" t="inlineStr">
        <is>
          <t>1/8 - P3</t>
        </is>
      </c>
      <c r="B27">
        <f>I10</f>
        <v/>
      </c>
      <c r="C27" s="5" t="n"/>
      <c r="D27" s="26" t="n"/>
      <c r="E27" s="6" t="inlineStr">
        <is>
          <t>-</t>
        </is>
      </c>
      <c r="F27" s="26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</row>
    <row r="28">
      <c r="A28" t="inlineStr">
        <is>
          <t>1/8 - P4</t>
        </is>
      </c>
      <c r="B28">
        <f>I12</f>
        <v/>
      </c>
      <c r="C28" s="5" t="n"/>
      <c r="D28" s="26" t="n"/>
      <c r="E28" s="6" t="inlineStr">
        <is>
          <t>-</t>
        </is>
      </c>
      <c r="F28" s="26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</row>
    <row r="29">
      <c r="A29" t="inlineStr">
        <is>
          <t>1/8 - P5</t>
        </is>
      </c>
      <c r="B29">
        <f>I14</f>
        <v/>
      </c>
      <c r="C29" s="5" t="n"/>
      <c r="D29" s="26" t="n"/>
      <c r="E29" s="6" t="inlineStr">
        <is>
          <t>-</t>
        </is>
      </c>
      <c r="F29" s="26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</row>
    <row r="30">
      <c r="A30" t="inlineStr">
        <is>
          <t>1/8 - P6</t>
        </is>
      </c>
      <c r="B30">
        <f>I16</f>
        <v/>
      </c>
      <c r="C30" s="5" t="n"/>
      <c r="D30" s="26" t="n"/>
      <c r="E30" s="6" t="inlineStr">
        <is>
          <t>-</t>
        </is>
      </c>
      <c r="F30" s="26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</row>
    <row r="31">
      <c r="A31" t="inlineStr">
        <is>
          <t>1/8 - P7</t>
        </is>
      </c>
      <c r="B31">
        <f>I18</f>
        <v/>
      </c>
      <c r="C31" s="5" t="n"/>
      <c r="D31" s="26" t="n"/>
      <c r="E31" s="6" t="inlineStr">
        <is>
          <t>-</t>
        </is>
      </c>
      <c r="F31" s="26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</row>
    <row r="32">
      <c r="A32" t="inlineStr">
        <is>
          <t>1/8 - P8</t>
        </is>
      </c>
      <c r="B32">
        <f>I20</f>
        <v/>
      </c>
      <c r="C32" s="5" t="n"/>
      <c r="D32" s="26" t="n"/>
      <c r="E32" s="6" t="inlineStr">
        <is>
          <t>-</t>
        </is>
      </c>
      <c r="F32" s="26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28">
      <c r="A35" s="32" t="inlineStr">
        <is>
          <t>CUARTOS DE FINAL</t>
        </is>
      </c>
    </row>
    <row r="36" ht="16.5" customHeight="1" s="28">
      <c r="A36" s="2" t="inlineStr">
        <is>
          <t>Partido</t>
        </is>
      </c>
      <c r="B36" s="2" t="inlineStr">
        <is>
          <t>Equipo A</t>
        </is>
      </c>
      <c r="C36" s="2" t="inlineStr">
        <is>
          <t>Goles</t>
        </is>
      </c>
      <c r="E36" s="2" t="inlineStr">
        <is>
          <t>vs</t>
        </is>
      </c>
      <c r="G36" s="2" t="inlineStr">
        <is>
          <t>Goles</t>
        </is>
      </c>
      <c r="H36" s="2" t="inlineStr">
        <is>
          <t>Equipo B</t>
        </is>
      </c>
      <c r="I36" s="2" t="inlineStr">
        <is>
          <t>Clasifica</t>
        </is>
      </c>
    </row>
    <row r="37">
      <c r="A37" s="6" t="inlineStr">
        <is>
          <t>1/4 - P1</t>
        </is>
      </c>
      <c r="B37">
        <f>I25</f>
        <v/>
      </c>
      <c r="C37" s="5" t="n"/>
      <c r="D37" s="26" t="n"/>
      <c r="E37" s="6" t="inlineStr">
        <is>
          <t>-</t>
        </is>
      </c>
      <c r="F37" s="26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</row>
    <row r="38">
      <c r="A38" s="6" t="inlineStr">
        <is>
          <t>1/4 - P2</t>
        </is>
      </c>
      <c r="B38">
        <f>I27</f>
        <v/>
      </c>
      <c r="C38" s="5" t="n"/>
      <c r="D38" s="26" t="n"/>
      <c r="E38" s="6" t="inlineStr">
        <is>
          <t>-</t>
        </is>
      </c>
      <c r="F38" s="26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</row>
    <row r="39">
      <c r="A39" s="6" t="inlineStr">
        <is>
          <t>1/4 - P3</t>
        </is>
      </c>
      <c r="B39">
        <f>I29</f>
        <v/>
      </c>
      <c r="C39" s="5" t="n"/>
      <c r="D39" s="26" t="n"/>
      <c r="E39" s="6" t="inlineStr">
        <is>
          <t>-</t>
        </is>
      </c>
      <c r="F39" s="26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</row>
    <row r="40">
      <c r="A40" s="6" t="inlineStr">
        <is>
          <t>1/4 - P4</t>
        </is>
      </c>
      <c r="B40">
        <f>I31</f>
        <v/>
      </c>
      <c r="C40" s="5" t="n"/>
      <c r="D40" s="26" t="n"/>
      <c r="E40" s="6" t="inlineStr">
        <is>
          <t>-</t>
        </is>
      </c>
      <c r="F40" s="26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28">
      <c r="A43" s="32" t="inlineStr">
        <is>
          <t>SEMIFINALES</t>
        </is>
      </c>
    </row>
    <row r="44" ht="16.5" customHeight="1" s="28">
      <c r="A44" s="2" t="inlineStr">
        <is>
          <t>Partido</t>
        </is>
      </c>
      <c r="B44" s="2" t="inlineStr">
        <is>
          <t>Equipo A</t>
        </is>
      </c>
      <c r="C44" s="2" t="inlineStr">
        <is>
          <t>Goles</t>
        </is>
      </c>
      <c r="E44" s="2" t="inlineStr">
        <is>
          <t>vs</t>
        </is>
      </c>
      <c r="G44" s="2" t="inlineStr">
        <is>
          <t>Goles</t>
        </is>
      </c>
      <c r="H44" s="2" t="inlineStr">
        <is>
          <t>Equipo B</t>
        </is>
      </c>
      <c r="I44" s="2" t="inlineStr">
        <is>
          <t>Clasifica</t>
        </is>
      </c>
    </row>
    <row r="45">
      <c r="A45" s="6" t="inlineStr">
        <is>
          <t>Semi - P1</t>
        </is>
      </c>
      <c r="B45">
        <f>I37</f>
        <v/>
      </c>
      <c r="C45" s="5" t="n"/>
      <c r="D45" s="26" t="n"/>
      <c r="E45" s="6" t="inlineStr">
        <is>
          <t>-</t>
        </is>
      </c>
      <c r="F45" s="26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</row>
    <row r="46">
      <c r="A46" s="6" t="inlineStr">
        <is>
          <t>Semi - P2</t>
        </is>
      </c>
      <c r="B46">
        <f>I39</f>
        <v/>
      </c>
      <c r="C46" s="5" t="n"/>
      <c r="D46" s="26" t="n"/>
      <c r="E46" s="6" t="inlineStr">
        <is>
          <t>-</t>
        </is>
      </c>
      <c r="F46" s="26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28">
      <c r="A49" s="32" t="inlineStr">
        <is>
          <t>PARTIDO POR EL TERCER LUGAR</t>
        </is>
      </c>
    </row>
    <row r="50" ht="16.5" customHeight="1" s="28">
      <c r="A50" s="2" t="inlineStr">
        <is>
          <t>Partido</t>
        </is>
      </c>
      <c r="B50" s="2" t="inlineStr">
        <is>
          <t>Equipo A</t>
        </is>
      </c>
      <c r="C50" s="2" t="inlineStr">
        <is>
          <t>Goles</t>
        </is>
      </c>
      <c r="E50" s="2" t="inlineStr">
        <is>
          <t>vs</t>
        </is>
      </c>
      <c r="G50" s="2" t="inlineStr">
        <is>
          <t>Goles</t>
        </is>
      </c>
      <c r="H50" s="2" t="inlineStr">
        <is>
          <t>Equipo B</t>
        </is>
      </c>
      <c r="I50" s="2" t="inlineStr">
        <is>
          <t>Clasifica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26" t="n"/>
      <c r="E51" s="6" t="inlineStr">
        <is>
          <t>-</t>
        </is>
      </c>
      <c r="F51" s="26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28">
      <c r="A54" s="32" t="inlineStr">
        <is>
          <t>GRAN FINAL</t>
        </is>
      </c>
    </row>
    <row r="55" ht="16.5" customHeight="1" s="28">
      <c r="A55" s="2" t="inlineStr">
        <is>
          <t>Partido</t>
        </is>
      </c>
      <c r="B55" s="2" t="inlineStr">
        <is>
          <t>Equipo A</t>
        </is>
      </c>
      <c r="C55" s="2" t="inlineStr">
        <is>
          <t>Goles</t>
        </is>
      </c>
      <c r="E55" s="2" t="inlineStr">
        <is>
          <t>vs</t>
        </is>
      </c>
      <c r="G55" s="2" t="inlineStr">
        <is>
          <t>Goles</t>
        </is>
      </c>
      <c r="H55" s="2" t="inlineStr">
        <is>
          <t>Equipo B</t>
        </is>
      </c>
      <c r="I55" s="2" t="inlineStr">
        <is>
          <t>Clasifica</t>
        </is>
      </c>
    </row>
    <row r="56">
      <c r="A56" s="6" t="inlineStr">
        <is>
          <t>Gran Final</t>
        </is>
      </c>
      <c r="B56">
        <f>I45</f>
        <v/>
      </c>
      <c r="C56" s="5" t="n"/>
      <c r="D56" s="26" t="n"/>
      <c r="E56" s="6" t="inlineStr">
        <is>
          <t>-</t>
        </is>
      </c>
      <c r="F56" s="26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28">
      <c r="A59" s="32" t="inlineStr">
        <is>
          <t>PODIO DE HONOR 🏆</t>
        </is>
      </c>
    </row>
    <row r="60" ht="16.5" customHeight="1" s="28">
      <c r="A60" s="8" t="n"/>
      <c r="B60" s="33" t="inlineStr">
        <is>
          <t>CAMPEÓN MUNDIAL 🏆</t>
        </is>
      </c>
      <c r="H60" s="9">
        <f>I56</f>
        <v/>
      </c>
      <c r="I60" s="8" t="n"/>
    </row>
    <row r="61" ht="16.5" customHeight="1" s="28">
      <c r="A61" s="8" t="n"/>
      <c r="B61" s="33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28">
      <c r="A62" s="8" t="n"/>
      <c r="B62" s="33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A43:I43"/>
    <mergeCell ref="A49:I49"/>
    <mergeCell ref="B60:G60"/>
    <mergeCell ref="A4:I4"/>
    <mergeCell ref="B61:G61"/>
    <mergeCell ref="A23:I23"/>
    <mergeCell ref="A1:I2"/>
    <mergeCell ref="A35:I35"/>
    <mergeCell ref="B62:G62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183"/>
  <sheetViews>
    <sheetView workbookViewId="0">
      <selection activeCell="B2" sqref="B2"/>
    </sheetView>
  </sheetViews>
  <sheetFormatPr baseColWidth="10" defaultColWidth="9.140625" defaultRowHeight="15"/>
  <cols>
    <col width="124.28515625" customWidth="1" style="28" min="2" max="2"/>
  </cols>
  <sheetData>
    <row r="2" ht="26.25" customHeight="1" s="28">
      <c r="B2" s="10" t="inlineStr">
        <is>
          <t>Fase de grupos: calendario y horarios de la Copa Mundial de la FIFA 2026™</t>
        </is>
      </c>
    </row>
    <row r="4">
      <c r="B4" s="18" t="inlineStr">
        <is>
          <t>Todos los horarios son de la Ciudad de México.</t>
        </is>
      </c>
    </row>
    <row r="5">
      <c r="B5" t="inlineStr">
        <is>
          <t>Jueves, 11 de junio 2026</t>
        </is>
      </c>
    </row>
    <row r="6">
      <c r="B6" t="inlineStr">
        <is>
          <t>13:00 - México v Sudáfrica – Grupo A - Estadio Ciudad de México</t>
        </is>
      </c>
    </row>
    <row r="7">
      <c r="B7" t="inlineStr">
        <is>
          <t>20:00 - República de Corea v República Checa – Grupo A - Estadio Guadalajara</t>
        </is>
      </c>
    </row>
    <row r="9">
      <c r="B9" t="inlineStr">
        <is>
          <t>Viernes, 12 de junio 2026</t>
        </is>
      </c>
    </row>
    <row r="10">
      <c r="B10" t="inlineStr">
        <is>
          <t>13:00 - Canadá v Bosnia y Herzegovina – Grupo B - Estadio Toronto</t>
        </is>
      </c>
    </row>
    <row r="11">
      <c r="B11" t="inlineStr">
        <is>
          <t>19:00 - Estados Unidos v Paraguay – Grupo D - Estadio Los Ángeles</t>
        </is>
      </c>
    </row>
    <row r="13">
      <c r="B13" t="inlineStr">
        <is>
          <t>Sábado, 13 de junio 2026</t>
        </is>
      </c>
    </row>
    <row r="14">
      <c r="B14" t="inlineStr">
        <is>
          <t>13:00 - Catar v Suiza – Grupo B - Estadio Bahía de San Francisco</t>
        </is>
      </c>
    </row>
    <row r="15">
      <c r="B15" t="inlineStr">
        <is>
          <t>16:00 - Brasil v Marruecos – Grupo C - Estadio Nueva York Nueva Jersey</t>
        </is>
      </c>
    </row>
    <row r="16">
      <c r="B16" t="inlineStr">
        <is>
          <t>19:00 - Haití v Escocia – Grupo C - Estadio Boston</t>
        </is>
      </c>
    </row>
    <row r="17">
      <c r="B17" t="inlineStr">
        <is>
          <t>22:00 - Australia v Turquía – Grupo D - Estadio BC Place Vancouver</t>
        </is>
      </c>
    </row>
    <row r="19">
      <c r="B19" t="inlineStr">
        <is>
          <t>Domingo, 14 de junio 2026</t>
        </is>
      </c>
    </row>
    <row r="20">
      <c r="B20" t="inlineStr">
        <is>
          <t>11:00 - Alemania v Curazao – Grupo E - Estadio Houston</t>
        </is>
      </c>
    </row>
    <row r="21">
      <c r="B21" t="inlineStr">
        <is>
          <t>14:00 - Países Bajos v Japón – Grupo F - Estadio Dallas</t>
        </is>
      </c>
    </row>
    <row r="22">
      <c r="B22" t="inlineStr">
        <is>
          <t>17:00 - Costa de Marfil v Ecuador – Grupo E - Estadio Filadelfia</t>
        </is>
      </c>
    </row>
    <row r="23">
      <c r="B23" t="inlineStr">
        <is>
          <t>20:00 - Suecia v Túnez – Grupo F - Estadio Monterrey</t>
        </is>
      </c>
    </row>
    <row r="25">
      <c r="B25" t="inlineStr">
        <is>
          <t>Lunes, 15 de junio 2026</t>
        </is>
      </c>
    </row>
    <row r="26">
      <c r="B26" t="inlineStr">
        <is>
          <t>10:00 - España v Cabo Verde – Grupo H - Estadio Atlanta</t>
        </is>
      </c>
    </row>
    <row r="27">
      <c r="B27" t="inlineStr">
        <is>
          <t>13:00 - Bélgica v Egipto – Grupo G - Estadio Seattle</t>
        </is>
      </c>
    </row>
    <row r="28">
      <c r="B28" t="inlineStr">
        <is>
          <t>16:00 - Arabia Saudí v Uruguay – Grupo H - Estadio Miami</t>
        </is>
      </c>
    </row>
    <row r="29">
      <c r="B29" t="inlineStr">
        <is>
          <t>19:00 - RI de Irán v Nueva Zelanda – Grupo G - Estadio Los Ángeles</t>
        </is>
      </c>
    </row>
    <row r="31">
      <c r="B31" t="inlineStr">
        <is>
          <t>Martes, 16 de junio 2026</t>
        </is>
      </c>
    </row>
    <row r="32">
      <c r="B32" t="inlineStr">
        <is>
          <t>13:00 - Francia v Senegal – Grupo I - Estadio Nueva York Nueva Jersey</t>
        </is>
      </c>
    </row>
    <row r="33">
      <c r="B33" t="inlineStr">
        <is>
          <t>16:00 - Irak v Noruega – Grupo I - Estadio Boston</t>
        </is>
      </c>
    </row>
    <row r="34">
      <c r="B34" t="inlineStr">
        <is>
          <t>19:00 - Argentina v Argelia – Grupo J - Estadio Kansas City</t>
        </is>
      </c>
    </row>
    <row r="35">
      <c r="B35" t="inlineStr">
        <is>
          <t>22:00 - Austria v Jordania – Grupo J - Estadio Bahía de San Francisco</t>
        </is>
      </c>
    </row>
    <row r="37">
      <c r="B37" t="inlineStr">
        <is>
          <t>Miércoles, 17 de junio 2026</t>
        </is>
      </c>
    </row>
    <row r="38">
      <c r="B38" t="inlineStr">
        <is>
          <t>11:00 - Portugal v RD Congo – Grupo K - Estadio Houston</t>
        </is>
      </c>
    </row>
    <row r="39">
      <c r="B39" t="inlineStr">
        <is>
          <t>14:00 - Inglaterra v Croacia – Grupo L - Estadio Dallas</t>
        </is>
      </c>
    </row>
    <row r="40">
      <c r="B40" t="inlineStr">
        <is>
          <t>17:00 - Ghana v Panamá – Grupo L - Estadio Toronto</t>
        </is>
      </c>
    </row>
    <row r="41">
      <c r="B41" t="inlineStr">
        <is>
          <t>20:00 - Uzbekistán v Colombia – Grupo K - Estadio Ciudad de México</t>
        </is>
      </c>
    </row>
    <row r="43">
      <c r="B43" t="inlineStr">
        <is>
          <t>Jueves, 18 de junio 2026</t>
        </is>
      </c>
    </row>
    <row r="44">
      <c r="B44" t="inlineStr">
        <is>
          <t>10:00 - República Checa v Sudáfrica – Grupo A - Estadio Atlanta</t>
        </is>
      </c>
    </row>
    <row r="45">
      <c r="B45" t="inlineStr">
        <is>
          <t>13:00 - Suiza v Bosnia y Herzegovina – Grupo B - Estadio Los Ángeles</t>
        </is>
      </c>
    </row>
    <row r="46">
      <c r="B46" t="inlineStr">
        <is>
          <t>16:00 - Canadá v Catar – Grupo B - Estadio BC Place Vancouver</t>
        </is>
      </c>
    </row>
    <row r="47">
      <c r="B47" t="inlineStr">
        <is>
          <t>19:00 - México v República de Corea – Grupo A - Estadio Guadalajara</t>
        </is>
      </c>
    </row>
    <row r="49">
      <c r="B49" t="inlineStr">
        <is>
          <t>Viernes, 19 de junio 2026</t>
        </is>
      </c>
    </row>
    <row r="50">
      <c r="B50" t="inlineStr">
        <is>
          <t>13:00 - Estados Unidos v Australia – Grupo D - Estadio Seattle</t>
        </is>
      </c>
    </row>
    <row r="51">
      <c r="B51" t="inlineStr">
        <is>
          <t>16:00 - Escocia v Marruecos – Grupo C - Estadio Boston</t>
        </is>
      </c>
    </row>
    <row r="52">
      <c r="B52" t="inlineStr">
        <is>
          <t>19:00 - Brasil v Haití – Grupo C - Estadio Filadelfia</t>
        </is>
      </c>
    </row>
    <row r="53">
      <c r="B53" t="inlineStr">
        <is>
          <t>22:00 - Turquía v Paraguay – Grupo D - Estadio Bahía de San Francisco</t>
        </is>
      </c>
    </row>
    <row r="55">
      <c r="B55" t="inlineStr">
        <is>
          <t>Sábado, 20 de junio 2026</t>
        </is>
      </c>
    </row>
    <row r="56">
      <c r="B56" t="inlineStr">
        <is>
          <t>11:00 - Países Bajos v Suecia – Grupo F - Estadio Houston</t>
        </is>
      </c>
    </row>
    <row r="57">
      <c r="B57" t="inlineStr">
        <is>
          <t>14:00 - Alemania v Costa de Marfil – Grupo E - Estadio Toronto</t>
        </is>
      </c>
    </row>
    <row r="58">
      <c r="B58" t="inlineStr">
        <is>
          <t>20:00 - Ecuador v Curazao – Grupo E - Estadio Kansas City</t>
        </is>
      </c>
    </row>
    <row r="59">
      <c r="B59" t="inlineStr">
        <is>
          <t>22:00 - Túnez v Japón – Grupo F - Estadio Monterrey</t>
        </is>
      </c>
    </row>
    <row r="62">
      <c r="B62" t="inlineStr">
        <is>
          <t>Domingo, 21 de junio 2026</t>
        </is>
      </c>
    </row>
    <row r="63">
      <c r="B63" t="inlineStr">
        <is>
          <t>10:00 - España v Arabia Saudí – Grupo H - Estadio Atlanta</t>
        </is>
      </c>
    </row>
    <row r="64">
      <c r="B64" t="inlineStr">
        <is>
          <t>13:00 - Bélgica v Irán – Grupo G - Estadio Los Ángeles</t>
        </is>
      </c>
    </row>
    <row r="65">
      <c r="B65" t="inlineStr">
        <is>
          <t>16:00 - Uruguay v Cabo Verde – Grupo H - Estadio Miami</t>
        </is>
      </c>
    </row>
    <row r="66">
      <c r="B66" t="inlineStr">
        <is>
          <t>19:00 - Nueva Zelanda v Egipto – Grupo G - Estadio BC Place Vancouver</t>
        </is>
      </c>
    </row>
    <row r="68">
      <c r="B68" t="inlineStr">
        <is>
          <t>Lunes, 22 de junio 2026</t>
        </is>
      </c>
    </row>
    <row r="69">
      <c r="B69" t="inlineStr">
        <is>
          <t>11:00 - Argentina v Austria – Grupo J - Estadio Dallas</t>
        </is>
      </c>
    </row>
    <row r="70">
      <c r="B70" t="inlineStr">
        <is>
          <t>15:00 - Francia v Irak – Grupo I - Estadio Filadelfia</t>
        </is>
      </c>
    </row>
    <row r="71">
      <c r="B71" t="inlineStr">
        <is>
          <t>18:00 - Noruega v Senegal – Grupo I - Estadio Nueva York Nueva Jersey</t>
        </is>
      </c>
    </row>
    <row r="72">
      <c r="B72" t="inlineStr">
        <is>
          <t>21:00 - Jordania v Argelia – Grupo J - Estadio Bahía de San Francisco Bay</t>
        </is>
      </c>
    </row>
    <row r="74">
      <c r="B74" t="inlineStr">
        <is>
          <t>Martes, 23 de junio 2026</t>
        </is>
      </c>
    </row>
    <row r="75">
      <c r="B75" t="inlineStr">
        <is>
          <t>11:00 - Portugal v Uzbekistán – Grupo K - Estadio Houston</t>
        </is>
      </c>
    </row>
    <row r="76">
      <c r="B76" t="inlineStr">
        <is>
          <t>14:00 - Inglaterra v Ghana – Grupo L - Estadio Boston</t>
        </is>
      </c>
    </row>
    <row r="77">
      <c r="B77" t="inlineStr">
        <is>
          <t>17:00 - Panamá v Croacia – Grupo L - Estadio Toronto</t>
        </is>
      </c>
    </row>
    <row r="78">
      <c r="B78" t="inlineStr">
        <is>
          <t>20:00 - Colombia v RD Congo – Grupo K - Estadio Guadalajara</t>
        </is>
      </c>
    </row>
    <row r="80">
      <c r="B80" t="inlineStr">
        <is>
          <t>Miércoles, 24 de junio 2026</t>
        </is>
      </c>
    </row>
    <row r="81">
      <c r="B81" t="inlineStr">
        <is>
          <t>13:00 - Suiza v Canadá – Grupo B - Estadio BC Place Vancouver</t>
        </is>
      </c>
    </row>
    <row r="82">
      <c r="B82" t="inlineStr">
        <is>
          <t>13:00 - Bosnia y Herzegovina v Catar – Grupo B - Estadio Seattle</t>
        </is>
      </c>
    </row>
    <row r="83">
      <c r="B83" t="inlineStr">
        <is>
          <t>16:00 - Escocia v Brasil – Grupo C - Estadio Miami</t>
        </is>
      </c>
    </row>
    <row r="84">
      <c r="B84" t="inlineStr">
        <is>
          <t>16:00 - Marruecos v Haití – Grupo C - Estadio Atlanta</t>
        </is>
      </c>
    </row>
    <row r="85">
      <c r="B85" t="inlineStr">
        <is>
          <t>19:00 - República Checa v México – Grupo A - Estadio Ciudad de México</t>
        </is>
      </c>
    </row>
    <row r="86">
      <c r="B86" t="inlineStr">
        <is>
          <t>19:00 - Sudáfrica v República de Corea – Grupo A - Estadio Monterrey</t>
        </is>
      </c>
    </row>
    <row r="88">
      <c r="B88" t="inlineStr">
        <is>
          <t>Jueves, 25 de junio 2026</t>
        </is>
      </c>
    </row>
    <row r="89">
      <c r="B89" t="inlineStr">
        <is>
          <t>14:00 - Curazao v Costa de Marfil – Grupo E - Estadio Filadelfia</t>
        </is>
      </c>
    </row>
    <row r="90">
      <c r="B90" t="inlineStr">
        <is>
          <t>14:00 - Ecuador v Alemania – Grupo E - Estadio Nueva York Nueva Jersey</t>
        </is>
      </c>
    </row>
    <row r="91">
      <c r="B91" t="inlineStr">
        <is>
          <t>17:00 - Japón v Suecia – Grupo F - Estadio Dallas</t>
        </is>
      </c>
    </row>
    <row r="92">
      <c r="B92" t="inlineStr">
        <is>
          <t>17:00 - Túnez v Países Bajos – Grupo F - Estadio Kansas City</t>
        </is>
      </c>
    </row>
    <row r="93">
      <c r="B93" t="inlineStr">
        <is>
          <t>20:00 - Turquía v Estados Unidos – Grupo D - Estadio Los Ángeles</t>
        </is>
      </c>
    </row>
    <row r="94">
      <c r="B94" t="inlineStr">
        <is>
          <t>20:00 - Paraguay v Australia – Grupo D - Estadio Bahía de San Francisco</t>
        </is>
      </c>
    </row>
    <row r="96">
      <c r="B96" t="inlineStr">
        <is>
          <t>Viernes, 26 de junio 2026</t>
        </is>
      </c>
    </row>
    <row r="97">
      <c r="B97" t="inlineStr">
        <is>
          <t>13:00 - Noruega v Francia – Grupo I - Estadio Boston</t>
        </is>
      </c>
    </row>
    <row r="98">
      <c r="B98" t="inlineStr">
        <is>
          <t>13:00 - Senegal v Irak – Grupo I - Estadio Toronto</t>
        </is>
      </c>
    </row>
    <row r="99">
      <c r="B99" t="inlineStr">
        <is>
          <t>18:00 - Cabo Verde v Arabia Saudí – Grupo H - Estadio Houston</t>
        </is>
      </c>
    </row>
    <row r="100">
      <c r="B100" t="inlineStr">
        <is>
          <t>18:00 - Uruguay v España – Grupo H - Estadio Guadalajara</t>
        </is>
      </c>
    </row>
    <row r="101">
      <c r="B101" t="inlineStr">
        <is>
          <t>21:00 - Egipto v Irán – Grupo G - Estadio Seattle</t>
        </is>
      </c>
    </row>
    <row r="102">
      <c r="B102" t="inlineStr">
        <is>
          <t>21:00 - Nueva Zelanda v Bélgica – Grupo G - Estadio BC Place Vancouver</t>
        </is>
      </c>
    </row>
    <row r="104">
      <c r="B104" t="inlineStr">
        <is>
          <t>Sábado, 27 de junio 2026</t>
        </is>
      </c>
    </row>
    <row r="105">
      <c r="B105" t="inlineStr">
        <is>
          <t>15:00 - Panamá v Inglaterra – Grupo L - Estadio Nueva York Nueva Jersey</t>
        </is>
      </c>
    </row>
    <row r="106">
      <c r="B106" t="inlineStr">
        <is>
          <t>15:00 - Croacia v Ghana – Grupo L - Estadio Filadelfia</t>
        </is>
      </c>
    </row>
    <row r="107">
      <c r="B107" t="inlineStr">
        <is>
          <t>17:30 - Colombia v Portugal – Grupo K - Estadio Miami</t>
        </is>
      </c>
    </row>
    <row r="108">
      <c r="B108" t="inlineStr">
        <is>
          <t>17:30 - RD Congo v Uzbekistán – Grupo K - Estadio Atlanta</t>
        </is>
      </c>
    </row>
    <row r="109">
      <c r="B109" t="inlineStr">
        <is>
          <t>20:00 - Argelia v Austria – Grupo J - Estadio Kansas City</t>
        </is>
      </c>
    </row>
    <row r="110">
      <c r="B110" t="inlineStr">
        <is>
          <t>20:00 - Jordania v Argentina – Grupo J - Estadio Dallas</t>
        </is>
      </c>
    </row>
    <row r="112">
      <c r="B112" t="inlineStr">
        <is>
          <t>Copa Mundial de la FIFA 2026™ – Dieciseisavos de final</t>
        </is>
      </c>
    </row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B2" sqref="B2"/>
    </sheetView>
  </sheetViews>
  <sheetFormatPr baseColWidth="10" defaultColWidth="9.140625" defaultRowHeight="15"/>
  <cols>
    <col width="146" customWidth="1" style="28" min="2" max="2"/>
  </cols>
  <sheetData>
    <row r="2" ht="26.25" customHeight="1" s="28">
      <c r="B2" s="10" t="inlineStr">
        <is>
          <t>Link para descargar archvivo ICS del  Calendario Mundial 2026 para Outlook o iPhone:</t>
        </is>
      </c>
    </row>
    <row r="3" ht="45" customHeight="1" s="28">
      <c r="B3" s="16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28">
      <c r="B6" s="10" t="inlineStr">
        <is>
          <t>Calendario para Google Calendar</t>
        </is>
      </c>
    </row>
    <row r="7">
      <c r="B7" s="17" t="n"/>
    </row>
    <row r="8" ht="60" customHeight="1" s="28">
      <c r="B8" s="16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Posición</t>
        </is>
      </c>
      <c r="B1" t="inlineStr">
        <is>
          <t>Selección</t>
        </is>
      </c>
      <c r="C1" t="inlineStr">
        <is>
          <t>Código</t>
        </is>
      </c>
      <c r="D1" t="inlineStr">
        <is>
          <t>Puntos Totales</t>
        </is>
      </c>
      <c r="E1" t="inlineStr">
        <is>
          <t>Puntos Anteriores</t>
        </is>
      </c>
      <c r="F1" t="inlineStr">
        <is>
          <t>Diferencia de Puntos (+/-)</t>
        </is>
      </c>
      <c r="G1" t="inlineStr">
        <is>
          <t>Cambio de Puesto</t>
        </is>
      </c>
      <c r="H1" t="inlineStr">
        <is>
          <t>Confederación</t>
        </is>
      </c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2026-05-21T20:43:28Z</dcterms:created>
  <dcterms:modified xmlns:dcterms="http://purl.org/dc/terms/" xmlns:xsi="http://www.w3.org/2001/XMLSchema-instance" xsi:type="dcterms:W3CDTF">2026-06-02T14:54:23Z</dcterms:modified>
  <cp:lastModifiedBy>Salvador Velasco Tellez</cp:lastModifiedBy>
</cp:coreProperties>
</file>