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Instrucciones" sheetId="1" state="visible" r:id="rId1"/>
    <sheet name="Grupos" sheetId="2" state="visible" r:id="rId2"/>
    <sheet name="Mejores Terceros" sheetId="3" state="visible" r:id="rId3"/>
    <sheet name="Backend" sheetId="4" state="hidden" r:id="rId4"/>
    <sheet name="Eliminatorias" sheetId="5" state="visible" r:id="rId5"/>
    <sheet name="RankingFIFA" sheetId="6" state="hidden" r:id="rId6"/>
    <sheet name="MatrizTerceros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FFFFFFFF"/>
      <sz val="18"/>
    </font>
    <font>
      <name val="Segoe UI"/>
      <sz val="11"/>
    </font>
    <font>
      <name val="Segoe UI"/>
      <b val="1"/>
      <color rgb="FFFFFFFF"/>
      <sz val="11"/>
    </font>
    <font>
      <name val="Segoe UI"/>
      <b val="1"/>
      <color rgb="FF0F4C43"/>
      <sz val="13"/>
    </font>
    <font>
      <name val="Segoe UI"/>
      <b val="1"/>
      <color rgb="FF0F4C43"/>
      <sz val="13"/>
    </font>
    <font>
      <name val="Segoe UI"/>
      <b val="1"/>
      <sz val="11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F4C43"/>
      <sz val="11"/>
    </font>
    <font>
      <name val="Segoe UI"/>
      <color rgb="00333333"/>
      <sz val="11"/>
    </font>
  </fonts>
  <fills count="10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000F4C43"/>
        <bgColor rgb="000F4C43"/>
      </patternFill>
    </fill>
    <fill>
      <patternFill patternType="solid">
        <fgColor rgb="00D4EDDA"/>
        <bgColor rgb="00D4EDDA"/>
      </patternFill>
    </fill>
    <fill>
      <patternFill patternType="solid">
        <fgColor rgb="00F7FAF9"/>
        <bgColor rgb="00F7FAF9"/>
      </patternFill>
    </fill>
    <fill>
      <patternFill patternType="solid">
        <fgColor rgb="00F8D7DA"/>
        <bgColor rgb="00F8D7DA"/>
      </patternFill>
    </fill>
  </fills>
  <borders count="5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2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10" fillId="8" borderId="4" applyAlignment="1" pivotButton="0" quotePrefix="0" xfId="0">
      <alignment horizontal="left" vertical="center"/>
    </xf>
    <xf numFmtId="0" fontId="9" fillId="9" borderId="4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9" sqref="B9"/>
    </sheetView>
  </sheetViews>
  <sheetFormatPr baseColWidth="10" defaultColWidth="9.140625" defaultRowHeight="15"/>
  <cols>
    <col width="69.5703125" customWidth="1" style="10" min="7" max="7"/>
  </cols>
  <sheetData>
    <row r="1">
      <c r="A1" s="18" t="inlineStr">
        <is>
          <t>QUINIELA MUNDIAL DE FÚTBOL 2026 - 100% AUTOMATIZADA</t>
        </is>
      </c>
    </row>
    <row r="2"/>
    <row r="4" ht="20.25" customHeight="1" s="10">
      <c r="A4" s="1" t="inlineStr">
        <is>
          <t>CÓMO FUNCIONA:</t>
        </is>
      </c>
    </row>
    <row r="5" ht="16.5" customHeight="1" s="10">
      <c r="A5" s="1" t="inlineStr">
        <is>
          <t>1. Pestaña 'Grupos': Ingresa los resultados. Las tablas se calculan en tiempo real.</t>
        </is>
      </c>
    </row>
    <row r="6" ht="16.5" customHeight="1" s="10">
      <c r="A6" s="1" t="inlineStr">
        <is>
          <t>2. Pestaña 'Eliminatorias': Al ir llenando, verás cómo los nombres se auto-completan gracias a la corrección del motor.</t>
        </is>
      </c>
    </row>
    <row r="7" ht="16.5" customHeight="1" s="10">
      <c r="A7" s="1" t="inlineStr">
        <is>
          <t>3. Puedes empezar a llenar y los líderes de cada grupo aparecerán de inmediato.</t>
        </is>
      </c>
    </row>
    <row r="8" ht="16.5" customHeight="1" s="10">
      <c r="A8" s="1" t="n"/>
    </row>
    <row r="9" ht="16.5" customHeight="1" s="10">
      <c r="B9" t="inlineStr">
        <is>
          <t>Salvador Velasco Téllez</t>
        </is>
      </c>
    </row>
    <row r="10" ht="16.5" customHeight="1" s="10"/>
    <row r="11" ht="16.5" customHeight="1" s="10"/>
    <row r="12" ht="16.5" customHeight="1" s="1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hMWZn9cNl1swlq/3132mw==" formatRows="1" sort="1" spinCount="100000" hashValue="je8mTykS1899UcevsV6DFcYW5exAuENDxbq8esy2p+u52ri5m3ETJ3Pkjb7O4+AbXTpdBSE1zB/bVXP2bnAHcA=="/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topLeftCell="A22" workbookViewId="0">
      <selection activeCell="F32" sqref="F32"/>
    </sheetView>
  </sheetViews>
  <sheetFormatPr baseColWidth="10" defaultColWidth="9.140625" defaultRowHeight="15"/>
  <cols>
    <col width="8" customWidth="1" style="10" min="1" max="1"/>
    <col width="16" customWidth="1" style="10" min="3" max="3"/>
    <col width="9.140625" customWidth="1" style="16" min="4" max="4"/>
    <col width="9.140625" customWidth="1" style="16" min="6" max="6"/>
    <col width="16" customWidth="1" style="10" min="7" max="7"/>
    <col width="16" customWidth="1" style="10" min="11" max="11"/>
    <col width="9.140625" customWidth="1" style="16" min="12" max="19"/>
  </cols>
  <sheetData>
    <row r="1">
      <c r="A1" s="18" t="inlineStr">
        <is>
          <t>PARTIDOS DE GRUPOS</t>
        </is>
      </c>
      <c r="J1" s="19" t="inlineStr">
        <is>
          <t>TABLAS DE POSICIONES (AUTOMÁTICAS)</t>
        </is>
      </c>
    </row>
    <row r="2"/>
    <row r="4" ht="16.5" customHeight="1" s="10">
      <c r="A4" s="13" t="inlineStr">
        <is>
          <t>ID</t>
        </is>
      </c>
      <c r="B4" s="13" t="inlineStr">
        <is>
          <t>Grupo</t>
        </is>
      </c>
      <c r="C4" s="13" t="inlineStr">
        <is>
          <t>Equipo 1</t>
        </is>
      </c>
      <c r="D4" s="13" t="inlineStr">
        <is>
          <t>Goles</t>
        </is>
      </c>
      <c r="E4" s="13" t="inlineStr">
        <is>
          <t>vs</t>
        </is>
      </c>
      <c r="F4" s="13" t="inlineStr">
        <is>
          <t>Goles</t>
        </is>
      </c>
      <c r="G4" s="13" t="inlineStr">
        <is>
          <t>Equipo 2</t>
        </is>
      </c>
      <c r="H4" s="13" t="inlineStr">
        <is>
          <t>Estado</t>
        </is>
      </c>
      <c r="J4" s="3" t="inlineStr">
        <is>
          <t>Grupo</t>
        </is>
      </c>
      <c r="K4" s="3" t="inlineStr">
        <is>
          <t>Equipo</t>
        </is>
      </c>
      <c r="L4" s="3" t="inlineStr">
        <is>
          <t>PJ</t>
        </is>
      </c>
      <c r="M4" s="3" t="inlineStr">
        <is>
          <t>PG</t>
        </is>
      </c>
      <c r="N4" s="3" t="inlineStr">
        <is>
          <t>PE</t>
        </is>
      </c>
      <c r="O4" s="3" t="inlineStr">
        <is>
          <t>PP</t>
        </is>
      </c>
      <c r="P4" s="3" t="inlineStr">
        <is>
          <t>GF</t>
        </is>
      </c>
      <c r="Q4" s="3" t="inlineStr">
        <is>
          <t>GC</t>
        </is>
      </c>
      <c r="R4" s="3" t="inlineStr">
        <is>
          <t>DIF</t>
        </is>
      </c>
      <c r="S4" s="3" t="inlineStr">
        <is>
          <t>PTS</t>
        </is>
      </c>
      <c r="T4" s="3" t="inlineStr">
        <is>
          <t>SCORE TIEBREAK</t>
        </is>
      </c>
    </row>
    <row r="5" ht="18.75" customHeight="1" s="10">
      <c r="A5" s="20" t="inlineStr">
        <is>
          <t>GRUPO A</t>
        </is>
      </c>
      <c r="J5" s="20" t="inlineStr">
        <is>
          <t>CLASIFICACIÓN GRUPO A</t>
        </is>
      </c>
    </row>
    <row r="6">
      <c r="C6" s="4" t="inlineStr">
        <is>
          <t>México</t>
        </is>
      </c>
      <c r="D6" s="15" t="n">
        <v>2</v>
      </c>
      <c r="E6" s="5" t="inlineStr">
        <is>
          <t>-</t>
        </is>
      </c>
      <c r="F6" s="15" t="n">
        <v>0</v>
      </c>
      <c r="G6" s="6" t="inlineStr">
        <is>
          <t>Sudáfrica</t>
        </is>
      </c>
      <c r="H6">
        <f>IF(AND(ISNUMBER(D6),ISNUMBER(F6)),"Ok","")</f>
        <v/>
      </c>
      <c r="J6" t="inlineStr">
        <is>
          <t>A</t>
        </is>
      </c>
      <c r="K6" t="inlineStr">
        <is>
          <t>México</t>
        </is>
      </c>
      <c r="L6" s="16">
        <f>IF(ISNUMBER(D6),1,0)+IF(ISNUMBER(D8),1,0)+IF(ISNUMBER(F10),1,0)</f>
        <v/>
      </c>
      <c r="M6" s="16">
        <f>IF(AND(ISNUMBER(D6),ISNUMBER(F6),D6&gt;F6),1,0)+IF(AND(ISNUMBER(D8),ISNUMBER(F8),D8&gt;F8),1,0)+IF(AND(ISNUMBER(F10),ISNUMBER(D10),F10&gt;D10),1,0)</f>
        <v/>
      </c>
      <c r="N6" s="16">
        <f>IF(AND(ISNUMBER(D6),ISNUMBER(F6),D6=F6),1,0)+IF(AND(ISNUMBER(D8),ISNUMBER(F8),D8=F8),1,0)+IF(AND(ISNUMBER(F10),ISNUMBER(D10),F10=D10),1,0)</f>
        <v/>
      </c>
      <c r="O6" s="16">
        <f>IF(AND(ISNUMBER(D6),ISNUMBER(F6),D6&lt;F6),1,0)+IF(AND(ISNUMBER(D8),ISNUMBER(F8),D8&lt;F8),1,0)+IF(AND(ISNUMBER(F10),ISNUMBER(D10),F10&lt;D10),1,0)</f>
        <v/>
      </c>
      <c r="P6" s="16">
        <f>IF(ISNUMBER(D6),D6,0)+IF(ISNUMBER(D8),D8,0)+IF(ISNUMBER(F10),F10,0)</f>
        <v/>
      </c>
      <c r="Q6" s="16">
        <f>IF(ISNUMBER(F6),F6,0)+IF(ISNUMBER(F8),F8,0)+IF(ISNUMBER(D10),D10,0)</f>
        <v/>
      </c>
      <c r="R6" s="16">
        <f>P6-Q6</f>
        <v/>
      </c>
      <c r="S6" s="16">
        <f>M6*3+N6</f>
        <v/>
      </c>
      <c r="T6">
        <f>S6*100000000 + (R6+100)*100000 + P6*1000 + IFERROR(VLOOKUP(K6, RankingFIFA!$A$1:$B$48, 2, FALSE), 0)</f>
        <v/>
      </c>
    </row>
    <row r="7">
      <c r="C7" s="4" t="inlineStr">
        <is>
          <t>Corea del Sur</t>
        </is>
      </c>
      <c r="D7" s="15" t="n">
        <v>1</v>
      </c>
      <c r="E7" s="5" t="inlineStr">
        <is>
          <t>-</t>
        </is>
      </c>
      <c r="F7" s="15" t="n">
        <v>1</v>
      </c>
      <c r="G7" s="6" t="inlineStr">
        <is>
          <t>Chequia</t>
        </is>
      </c>
      <c r="H7">
        <f>IF(AND(ISNUMBER(D7),ISNUMBER(F7)),"Ok","")</f>
        <v/>
      </c>
      <c r="J7" t="inlineStr">
        <is>
          <t>A</t>
        </is>
      </c>
      <c r="K7" t="inlineStr">
        <is>
          <t>Sudáfrica</t>
        </is>
      </c>
      <c r="L7" s="16">
        <f>IF(ISNUMBER(F6),1,0)+IF(ISNUMBER(D9),1,0)+IF(ISNUMBER(D11),1,0)</f>
        <v/>
      </c>
      <c r="M7" s="16">
        <f>IF(AND(ISNUMBER(F6),ISNUMBER(D6),F6&gt;D6),1,0)+IF(AND(ISNUMBER(D9),ISNUMBER(F9),D9&gt;F9),1,0)+IF(AND(ISNUMBER(D11),ISNUMBER(F11),D11&gt;F11),1,0)</f>
        <v/>
      </c>
      <c r="N7" s="16">
        <f>IF(AND(ISNUMBER(F6),ISNUMBER(D6),F6=D6),1,0)+IF(AND(ISNUMBER(D9),ISNUMBER(F9),D9=F9),1,0)+IF(AND(ISNUMBER(D11),ISNUMBER(F11),D11=F11),1,0)</f>
        <v/>
      </c>
      <c r="O7" s="16">
        <f>IF(AND(ISNUMBER(F6),ISNUMBER(D6),F6&lt;D6),1,0)+IF(AND(ISNUMBER(D9),ISNUMBER(F9),D9&lt;F9),1,0)+IF(AND(ISNUMBER(D11),ISNUMBER(F11),D11&lt;F11),1,0)</f>
        <v/>
      </c>
      <c r="P7" s="16">
        <f>IF(ISNUMBER(F6),F6,0)+IF(ISNUMBER(D9),D9,0)+IF(ISNUMBER(D11),D11,0)</f>
        <v/>
      </c>
      <c r="Q7" s="16">
        <f>IF(ISNUMBER(D6),D6,0)+IF(ISNUMBER(F9),F9,0)+IF(ISNUMBER(F11),F11,0)</f>
        <v/>
      </c>
      <c r="R7" s="16">
        <f>P7-Q7</f>
        <v/>
      </c>
      <c r="S7" s="16">
        <f>M7*3+N7</f>
        <v/>
      </c>
      <c r="T7">
        <f>S7*100000000 + (R7+100)*100000 + P7*1000 + IFERROR(VLOOKUP(K7, RankingFIFA!$A$1:$B$48, 2, FALSE), 0)</f>
        <v/>
      </c>
    </row>
    <row r="8">
      <c r="C8" s="4" t="inlineStr">
        <is>
          <t>México</t>
        </is>
      </c>
      <c r="D8" s="15" t="n">
        <v>3</v>
      </c>
      <c r="E8" s="5" t="inlineStr">
        <is>
          <t>-</t>
        </is>
      </c>
      <c r="F8" s="15" t="n">
        <v>1</v>
      </c>
      <c r="G8" s="6" t="inlineStr">
        <is>
          <t>Corea del Sur</t>
        </is>
      </c>
      <c r="H8">
        <f>IF(AND(ISNUMBER(D8),ISNUMBER(F8)),"Ok","")</f>
        <v/>
      </c>
      <c r="J8" t="inlineStr">
        <is>
          <t>A</t>
        </is>
      </c>
      <c r="K8" t="inlineStr">
        <is>
          <t>Corea del Sur</t>
        </is>
      </c>
      <c r="L8" s="16">
        <f>IF(ISNUMBER(D7),1,0)+IF(ISNUMBER(F8),1,0)+IF(ISNUMBER(F11),1,0)</f>
        <v/>
      </c>
      <c r="M8" s="16">
        <f>IF(AND(ISNUMBER(D7),ISNUMBER(F7),D7&gt;F7),1,0)+IF(AND(ISNUMBER(F8),ISNUMBER(D8),F8&gt;D8),1,0)+IF(AND(ISNUMBER(F11),ISNUMBER(D11),F11&gt;D11),1,0)</f>
        <v/>
      </c>
      <c r="N8" s="16">
        <f>IF(AND(ISNUMBER(D7),ISNUMBER(F7),D7=F7),1,0)+IF(AND(ISNUMBER(F8),ISNUMBER(D8),F8=D8),1,0)+IF(AND(ISNUMBER(F11),ISNUMBER(D11),F11=D11),1,0)</f>
        <v/>
      </c>
      <c r="O8" s="16">
        <f>IF(AND(ISNUMBER(D7),ISNUMBER(F7),D7&lt;F7),1,0)+IF(AND(ISNUMBER(F8),ISNUMBER(D8),F8&lt;D8),1,0)+IF(AND(ISNUMBER(F11),ISNUMBER(D11),F11&lt;D11),1,0)</f>
        <v/>
      </c>
      <c r="P8" s="16">
        <f>IF(ISNUMBER(D7),D7,0)+IF(ISNUMBER(F8),F8,0)+IF(ISNUMBER(F11),F11,0)</f>
        <v/>
      </c>
      <c r="Q8" s="16">
        <f>IF(ISNUMBER(F7),F7,0)+IF(ISNUMBER(D8),D8,0)+IF(ISNUMBER(D11),D11,0)</f>
        <v/>
      </c>
      <c r="R8" s="16">
        <f>P8-Q8</f>
        <v/>
      </c>
      <c r="S8" s="16">
        <f>M8*3+N8</f>
        <v/>
      </c>
      <c r="T8">
        <f>S8*100000000 + (R8+100)*100000 + P8*1000 + IFERROR(VLOOKUP(K8, RankingFIFA!$A$1:$B$48, 2, FALSE), 0)</f>
        <v/>
      </c>
    </row>
    <row r="9">
      <c r="C9" s="4" t="inlineStr">
        <is>
          <t>Sudáfrica</t>
        </is>
      </c>
      <c r="D9" s="15" t="n">
        <v>1</v>
      </c>
      <c r="E9" s="5" t="inlineStr">
        <is>
          <t>-</t>
        </is>
      </c>
      <c r="F9" s="15" t="n">
        <v>2</v>
      </c>
      <c r="G9" s="6" t="inlineStr">
        <is>
          <t>Chequia</t>
        </is>
      </c>
      <c r="H9">
        <f>IF(AND(ISNUMBER(D9),ISNUMBER(F9)),"Ok","")</f>
        <v/>
      </c>
      <c r="J9" t="inlineStr">
        <is>
          <t>A</t>
        </is>
      </c>
      <c r="K9" t="inlineStr">
        <is>
          <t>Chequia</t>
        </is>
      </c>
      <c r="L9" s="16">
        <f>IF(ISNUMBER(F7),1,0)+IF(ISNUMBER(F9),1,0)+IF(ISNUMBER(D10),1,0)</f>
        <v/>
      </c>
      <c r="M9" s="16">
        <f>IF(AND(ISNUMBER(F7),ISNUMBER(D7),F7&gt;D7),1,0)+IF(AND(ISNUMBER(F9),ISNUMBER(D9),F9&gt;D9),1,0)+IF(AND(ISNUMBER(D10),ISNUMBER(F10),D10&gt;F10),1,0)</f>
        <v/>
      </c>
      <c r="N9" s="16">
        <f>IF(AND(ISNUMBER(F7),ISNUMBER(D7),F7=D7),1,0)+IF(AND(ISNUMBER(F9),ISNUMBER(D9),F9=D9),1,0)+IF(AND(ISNUMBER(D10),ISNUMBER(F10),D10=F10),1,0)</f>
        <v/>
      </c>
      <c r="O9" s="16">
        <f>IF(AND(ISNUMBER(F7),ISNUMBER(D7),F7&lt;D7),1,0)+IF(AND(ISNUMBER(F9),ISNUMBER(D9),F9&lt;D9),1,0)+IF(AND(ISNUMBER(D10),ISNUMBER(F10),D10&lt;F10),1,0)</f>
        <v/>
      </c>
      <c r="P9" s="16">
        <f>IF(ISNUMBER(F7),F7,0)+IF(ISNUMBER(F9),F9,0)+IF(ISNUMBER(D10),D10,0)</f>
        <v/>
      </c>
      <c r="Q9" s="16">
        <f>IF(ISNUMBER(D7),D7,0)+IF(ISNUMBER(D9),D9,0)+IF(ISNUMBER(F10),F10,0)</f>
        <v/>
      </c>
      <c r="R9" s="16">
        <f>P9-Q9</f>
        <v/>
      </c>
      <c r="S9" s="16">
        <f>M9*3+N9</f>
        <v/>
      </c>
      <c r="T9">
        <f>S9*100000000 + (R9+100)*100000 + P9*1000 + IFERROR(VLOOKUP(K9, RankingFIFA!$A$1:$B$48, 2, FALSE), 0)</f>
        <v/>
      </c>
    </row>
    <row r="10">
      <c r="C10" s="4" t="inlineStr">
        <is>
          <t>Chequia</t>
        </is>
      </c>
      <c r="D10" s="15" t="n">
        <v>1</v>
      </c>
      <c r="E10" s="5" t="inlineStr">
        <is>
          <t>-</t>
        </is>
      </c>
      <c r="F10" s="15" t="n">
        <v>3</v>
      </c>
      <c r="G10" s="6" t="inlineStr">
        <is>
          <t>México</t>
        </is>
      </c>
      <c r="H10">
        <f>IF(AND(ISNUMBER(D10),ISNUMBER(F10)),"Ok","")</f>
        <v/>
      </c>
    </row>
    <row r="11" ht="18.75" customHeight="1" s="10">
      <c r="C11" s="4" t="inlineStr">
        <is>
          <t>Sudáfrica</t>
        </is>
      </c>
      <c r="D11" s="15" t="n">
        <v>0</v>
      </c>
      <c r="E11" s="5" t="inlineStr">
        <is>
          <t>-</t>
        </is>
      </c>
      <c r="F11" s="15" t="n">
        <v>1</v>
      </c>
      <c r="G11" s="6" t="inlineStr">
        <is>
          <t>Corea del Sur</t>
        </is>
      </c>
      <c r="H11">
        <f>IF(AND(ISNUMBER(D11),ISNUMBER(F11)),"Ok","")</f>
        <v/>
      </c>
      <c r="J11" s="20" t="inlineStr">
        <is>
          <t>CLASIFICACIÓN GRUPO B</t>
        </is>
      </c>
    </row>
    <row r="12">
      <c r="J12" t="inlineStr">
        <is>
          <t>B</t>
        </is>
      </c>
      <c r="K12" t="inlineStr">
        <is>
          <t>Canadá</t>
        </is>
      </c>
      <c r="L12" s="16">
        <f>IF(ISNUMBER(D14),1,0)+IF(ISNUMBER(D16),1,0)+IF(ISNUMBER(F18),1,0)</f>
        <v/>
      </c>
      <c r="M12" s="16">
        <f>IF(AND(ISNUMBER(D14),ISNUMBER(F14),D14&gt;F14),1,0)+IF(AND(ISNUMBER(D16),ISNUMBER(F16),D16&gt;F16),1,0)+IF(AND(ISNUMBER(F18),ISNUMBER(D18),F18&gt;D18),1,0)</f>
        <v/>
      </c>
      <c r="N12" s="16">
        <f>IF(AND(ISNUMBER(D14),ISNUMBER(F14),D14=F14),1,0)+IF(AND(ISNUMBER(D16),ISNUMBER(F16),D16=F16),1,0)+IF(AND(ISNUMBER(F18),ISNUMBER(D18),F18=D18),1,0)</f>
        <v/>
      </c>
      <c r="O12" s="16">
        <f>IF(AND(ISNUMBER(D14),ISNUMBER(F14),D14&lt;F14),1,0)+IF(AND(ISNUMBER(D16),ISNUMBER(F16),D16&lt;F16),1,0)+IF(AND(ISNUMBER(F18),ISNUMBER(D18),F18&lt;D18),1,0)</f>
        <v/>
      </c>
      <c r="P12" s="16">
        <f>IF(ISNUMBER(D14),D14,0)+IF(ISNUMBER(D16),D16,0)+IF(ISNUMBER(F18),F18,0)</f>
        <v/>
      </c>
      <c r="Q12" s="16">
        <f>IF(ISNUMBER(F14),F14,0)+IF(ISNUMBER(F16),F16,0)+IF(ISNUMBER(D18),D18,0)</f>
        <v/>
      </c>
      <c r="R12" s="16">
        <f>P12-Q12</f>
        <v/>
      </c>
      <c r="S12" s="16">
        <f>M12*3+N12</f>
        <v/>
      </c>
      <c r="T12">
        <f>S12*100000000 + (R12+100)*100000 + P12*1000 + IFERROR(VLOOKUP(K12, RankingFIFA!$A$1:$B$48, 2, FALSE), 0)</f>
        <v/>
      </c>
    </row>
    <row r="13" ht="18.75" customHeight="1" s="10">
      <c r="A13" s="20" t="inlineStr">
        <is>
          <t>GRUPO B</t>
        </is>
      </c>
      <c r="J13" t="inlineStr">
        <is>
          <t>B</t>
        </is>
      </c>
      <c r="K13" t="inlineStr">
        <is>
          <t>Bosnia y Herze.</t>
        </is>
      </c>
      <c r="L13" s="16">
        <f>IF(ISNUMBER(F14),1,0)+IF(ISNUMBER(D17),1,0)+IF(ISNUMBER(D19),1,0)</f>
        <v/>
      </c>
      <c r="M13" s="16">
        <f>IF(AND(ISNUMBER(F14),ISNUMBER(D14),F14&gt;D14),1,0)+IF(AND(ISNUMBER(D17),ISNUMBER(F17),D17&gt;F17),1,0)+IF(AND(ISNUMBER(D19),ISNUMBER(F19),D19&gt;F19),1,0)</f>
        <v/>
      </c>
      <c r="N13" s="16">
        <f>IF(AND(ISNUMBER(F14),ISNUMBER(D14),F14=D14),1,0)+IF(AND(ISNUMBER(D17),ISNUMBER(F17),D17=F17),1,0)+IF(AND(ISNUMBER(D19),ISNUMBER(F19),D19=F19),1,0)</f>
        <v/>
      </c>
      <c r="O13" s="16">
        <f>IF(AND(ISNUMBER(F14),ISNUMBER(D14),F14&lt;D14),1,0)+IF(AND(ISNUMBER(D17),ISNUMBER(F17),D17&lt;F17),1,0)+IF(AND(ISNUMBER(D19),ISNUMBER(F19),D19&lt;F19),1,0)</f>
        <v/>
      </c>
      <c r="P13" s="16">
        <f>IF(ISNUMBER(F14),F14,0)+IF(ISNUMBER(D17),D17,0)+IF(ISNUMBER(D19),D19,0)</f>
        <v/>
      </c>
      <c r="Q13" s="16">
        <f>IF(ISNUMBER(D14),D14,0)+IF(ISNUMBER(F17),F17,0)+IF(ISNUMBER(F19),F19,0)</f>
        <v/>
      </c>
      <c r="R13" s="16">
        <f>P13-Q13</f>
        <v/>
      </c>
      <c r="S13" s="16">
        <f>M13*3+N13</f>
        <v/>
      </c>
      <c r="T13">
        <f>S13*100000000 + (R13+100)*100000 + P13*1000 + IFERROR(VLOOKUP(K13, RankingFIFA!$A$1:$B$48, 2, FALSE), 0)</f>
        <v/>
      </c>
    </row>
    <row r="14">
      <c r="C14" s="4" t="inlineStr">
        <is>
          <t>Canadá</t>
        </is>
      </c>
      <c r="D14" s="15" t="n">
        <v>2</v>
      </c>
      <c r="E14" s="5" t="inlineStr">
        <is>
          <t>-</t>
        </is>
      </c>
      <c r="F14" s="15" t="n">
        <v>2</v>
      </c>
      <c r="G14" s="6" t="inlineStr">
        <is>
          <t>Bosnia y Herze.</t>
        </is>
      </c>
      <c r="H14">
        <f>IF(AND(ISNUMBER(D14),ISNUMBER(F14)),"Ok","")</f>
        <v/>
      </c>
      <c r="J14" t="inlineStr">
        <is>
          <t>B</t>
        </is>
      </c>
      <c r="K14" t="inlineStr">
        <is>
          <t>Qatar</t>
        </is>
      </c>
      <c r="L14" s="16">
        <f>IF(ISNUMBER(D15),1,0)+IF(ISNUMBER(F16),1,0)+IF(ISNUMBER(F19),1,0)</f>
        <v/>
      </c>
      <c r="M14" s="16">
        <f>IF(AND(ISNUMBER(D15),ISNUMBER(F15),D15&gt;F15),1,0)+IF(AND(ISNUMBER(F16),ISNUMBER(D16),F16&gt;D16),1,0)+IF(AND(ISNUMBER(F19),ISNUMBER(D19),F19&gt;D19),1,0)</f>
        <v/>
      </c>
      <c r="N14" s="16">
        <f>IF(AND(ISNUMBER(D15),ISNUMBER(F15),D15=F15),1,0)+IF(AND(ISNUMBER(F16),ISNUMBER(D16),F16=D16),1,0)+IF(AND(ISNUMBER(F19),ISNUMBER(D19),F19=D19),1,0)</f>
        <v/>
      </c>
      <c r="O14" s="16">
        <f>IF(AND(ISNUMBER(D15),ISNUMBER(F15),D15&lt;F15),1,0)+IF(AND(ISNUMBER(F16),ISNUMBER(D16),F16&lt;D16),1,0)+IF(AND(ISNUMBER(F19),ISNUMBER(D19),F19&lt;D19),1,0)</f>
        <v/>
      </c>
      <c r="P14" s="16">
        <f>IF(ISNUMBER(D15),D15,0)+IF(ISNUMBER(F16),F16,0)+IF(ISNUMBER(F19),F19,0)</f>
        <v/>
      </c>
      <c r="Q14" s="16">
        <f>IF(ISNUMBER(F15),F15,0)+IF(ISNUMBER(D16),D16,0)+IF(ISNUMBER(D19),D19,0)</f>
        <v/>
      </c>
      <c r="R14" s="16">
        <f>P14-Q14</f>
        <v/>
      </c>
      <c r="S14" s="16">
        <f>M14*3+N14</f>
        <v/>
      </c>
      <c r="T14">
        <f>S14*100000000 + (R14+100)*100000 + P14*1000 + IFERROR(VLOOKUP(K14, RankingFIFA!$A$1:$B$48, 2, FALSE), 0)</f>
        <v/>
      </c>
    </row>
    <row r="15">
      <c r="C15" s="4" t="inlineStr">
        <is>
          <t>Qatar</t>
        </is>
      </c>
      <c r="D15" s="15" t="n">
        <v>0</v>
      </c>
      <c r="E15" s="5" t="inlineStr">
        <is>
          <t>-</t>
        </is>
      </c>
      <c r="F15" s="15" t="n">
        <v>1</v>
      </c>
      <c r="G15" s="6" t="inlineStr">
        <is>
          <t>Suiza</t>
        </is>
      </c>
      <c r="H15">
        <f>IF(AND(ISNUMBER(D15),ISNUMBER(F15)),"Ok","")</f>
        <v/>
      </c>
      <c r="J15" t="inlineStr">
        <is>
          <t>B</t>
        </is>
      </c>
      <c r="K15" t="inlineStr">
        <is>
          <t>Suiza</t>
        </is>
      </c>
      <c r="L15" s="16">
        <f>IF(ISNUMBER(F15),1,0)+IF(ISNUMBER(F17),1,0)+IF(ISNUMBER(D18),1,0)</f>
        <v/>
      </c>
      <c r="M15" s="16">
        <f>IF(AND(ISNUMBER(F15),ISNUMBER(D15),F15&gt;D15),1,0)+IF(AND(ISNUMBER(F17),ISNUMBER(D17),F17&gt;D17),1,0)+IF(AND(ISNUMBER(D18),ISNUMBER(F18),D18&gt;F18),1,0)</f>
        <v/>
      </c>
      <c r="N15" s="16">
        <f>IF(AND(ISNUMBER(F15),ISNUMBER(D15),F15=D15),1,0)+IF(AND(ISNUMBER(F17),ISNUMBER(D17),F17=D17),1,0)+IF(AND(ISNUMBER(D18),ISNUMBER(F18),D18=F18),1,0)</f>
        <v/>
      </c>
      <c r="O15" s="16">
        <f>IF(AND(ISNUMBER(F15),ISNUMBER(D15),F15&lt;D15),1,0)+IF(AND(ISNUMBER(F17),ISNUMBER(D17),F17&lt;D17),1,0)+IF(AND(ISNUMBER(D18),ISNUMBER(F18),D18&lt;F18),1,0)</f>
        <v/>
      </c>
      <c r="P15" s="16">
        <f>IF(ISNUMBER(F15),F15,0)+IF(ISNUMBER(F17),F17,0)+IF(ISNUMBER(D18),D18,0)</f>
        <v/>
      </c>
      <c r="Q15" s="16">
        <f>IF(ISNUMBER(D15),D15,0)+IF(ISNUMBER(D17),D17,0)+IF(ISNUMBER(F18),F18,0)</f>
        <v/>
      </c>
      <c r="R15" s="16">
        <f>P15-Q15</f>
        <v/>
      </c>
      <c r="S15" s="16">
        <f>M15*3+N15</f>
        <v/>
      </c>
      <c r="T15">
        <f>S15*100000000 + (R15+100)*100000 + P15*1000 + IFERROR(VLOOKUP(K15, RankingFIFA!$A$1:$B$48, 2, FALSE), 0)</f>
        <v/>
      </c>
    </row>
    <row r="16">
      <c r="C16" s="4" t="inlineStr">
        <is>
          <t>Canadá</t>
        </is>
      </c>
      <c r="D16" s="15" t="n">
        <v>3</v>
      </c>
      <c r="E16" s="5" t="inlineStr">
        <is>
          <t>-</t>
        </is>
      </c>
      <c r="F16" s="15" t="n">
        <v>1</v>
      </c>
      <c r="G16" s="6" t="inlineStr">
        <is>
          <t>Qatar</t>
        </is>
      </c>
      <c r="H16">
        <f>IF(AND(ISNUMBER(D16),ISNUMBER(F16)),"Ok","")</f>
        <v/>
      </c>
    </row>
    <row r="17" ht="18.75" customHeight="1" s="10">
      <c r="C17" s="4" t="inlineStr">
        <is>
          <t>Bosnia y Herze.</t>
        </is>
      </c>
      <c r="D17" s="15" t="n">
        <v>1</v>
      </c>
      <c r="E17" s="5" t="inlineStr">
        <is>
          <t>-</t>
        </is>
      </c>
      <c r="F17" s="15" t="n">
        <v>3</v>
      </c>
      <c r="G17" s="6" t="inlineStr">
        <is>
          <t>Suiza</t>
        </is>
      </c>
      <c r="H17">
        <f>IF(AND(ISNUMBER(D17),ISNUMBER(F17)),"Ok","")</f>
        <v/>
      </c>
      <c r="J17" s="20" t="inlineStr">
        <is>
          <t>CLASIFICACIÓN GRUPO C</t>
        </is>
      </c>
    </row>
    <row r="18">
      <c r="C18" s="4" t="inlineStr">
        <is>
          <t>Suiza</t>
        </is>
      </c>
      <c r="D18" s="15" t="n">
        <v>1</v>
      </c>
      <c r="E18" s="5" t="inlineStr">
        <is>
          <t>-</t>
        </is>
      </c>
      <c r="F18" s="15" t="n">
        <v>3</v>
      </c>
      <c r="G18" s="6" t="inlineStr">
        <is>
          <t>Canadá</t>
        </is>
      </c>
      <c r="H18">
        <f>IF(AND(ISNUMBER(D18),ISNUMBER(F18)),"Ok","")</f>
        <v/>
      </c>
      <c r="J18" t="inlineStr">
        <is>
          <t>C</t>
        </is>
      </c>
      <c r="K18" t="inlineStr">
        <is>
          <t>Brasil</t>
        </is>
      </c>
      <c r="L18" s="16">
        <f>IF(ISNUMBER(D22),1,0)+IF(ISNUMBER(D24),1,0)+IF(ISNUMBER(F26),1,0)</f>
        <v/>
      </c>
      <c r="M18" s="16">
        <f>IF(AND(ISNUMBER(D22),ISNUMBER(F22),D22&gt;F22),1,0)+IF(AND(ISNUMBER(D24),ISNUMBER(F24),D24&gt;F24),1,0)+IF(AND(ISNUMBER(F26),ISNUMBER(D26),F26&gt;D26),1,0)</f>
        <v/>
      </c>
      <c r="N18" s="16">
        <f>IF(AND(ISNUMBER(D22),ISNUMBER(F22),D22=F22),1,0)+IF(AND(ISNUMBER(D24),ISNUMBER(F24),D24=F24),1,0)+IF(AND(ISNUMBER(F26),ISNUMBER(D26),F26=D26),1,0)</f>
        <v/>
      </c>
      <c r="O18" s="16">
        <f>IF(AND(ISNUMBER(D22),ISNUMBER(F22),D22&lt;F22),1,0)+IF(AND(ISNUMBER(D24),ISNUMBER(F24),D24&lt;F24),1,0)+IF(AND(ISNUMBER(F26),ISNUMBER(D26),F26&lt;D26),1,0)</f>
        <v/>
      </c>
      <c r="P18" s="16">
        <f>IF(ISNUMBER(D22),D22,0)+IF(ISNUMBER(D24),D24,0)+IF(ISNUMBER(F26),F26,0)</f>
        <v/>
      </c>
      <c r="Q18" s="16">
        <f>IF(ISNUMBER(F22),F22,0)+IF(ISNUMBER(F24),F24,0)+IF(ISNUMBER(D26),D26,0)</f>
        <v/>
      </c>
      <c r="R18" s="16">
        <f>P18-Q18</f>
        <v/>
      </c>
      <c r="S18" s="16">
        <f>M18*3+N18</f>
        <v/>
      </c>
      <c r="T18">
        <f>S18*100000000 + (R18+100)*100000 + P18*1000 + IFERROR(VLOOKUP(K18, RankingFIFA!$A$1:$B$48, 2, FALSE), 0)</f>
        <v/>
      </c>
    </row>
    <row r="19">
      <c r="C19" s="4" t="inlineStr">
        <is>
          <t>Bosnia y Herze.</t>
        </is>
      </c>
      <c r="D19" s="15" t="n">
        <v>0</v>
      </c>
      <c r="E19" s="5" t="inlineStr">
        <is>
          <t>-</t>
        </is>
      </c>
      <c r="F19" s="15" t="n">
        <v>0</v>
      </c>
      <c r="G19" s="6" t="inlineStr">
        <is>
          <t>Qatar</t>
        </is>
      </c>
      <c r="H19">
        <f>IF(AND(ISNUMBER(D19),ISNUMBER(F19)),"Ok","")</f>
        <v/>
      </c>
      <c r="J19" t="inlineStr">
        <is>
          <t>C</t>
        </is>
      </c>
      <c r="K19" t="inlineStr">
        <is>
          <t>Marruecos</t>
        </is>
      </c>
      <c r="L19" s="16">
        <f>IF(ISNUMBER(F22),1,0)+IF(ISNUMBER(D25),1,0)+IF(ISNUMBER(D27),1,0)</f>
        <v/>
      </c>
      <c r="M19" s="16">
        <f>IF(AND(ISNUMBER(F22),ISNUMBER(D22),F22&gt;D22),1,0)+IF(AND(ISNUMBER(D25),ISNUMBER(F25),D25&gt;F25),1,0)+IF(AND(ISNUMBER(D27),ISNUMBER(F27),D27&gt;F27),1,0)</f>
        <v/>
      </c>
      <c r="N19" s="16">
        <f>IF(AND(ISNUMBER(F22),ISNUMBER(D22),F22=D22),1,0)+IF(AND(ISNUMBER(D25),ISNUMBER(F25),D25=F25),1,0)+IF(AND(ISNUMBER(D27),ISNUMBER(F27),D27=F27),1,0)</f>
        <v/>
      </c>
      <c r="O19" s="16">
        <f>IF(AND(ISNUMBER(F22),ISNUMBER(D22),F22&lt;D22),1,0)+IF(AND(ISNUMBER(D25),ISNUMBER(F25),D25&lt;F25),1,0)+IF(AND(ISNUMBER(D27),ISNUMBER(F27),D27&lt;F27),1,0)</f>
        <v/>
      </c>
      <c r="P19" s="16">
        <f>IF(ISNUMBER(F22),F22,0)+IF(ISNUMBER(D25),D25,0)+IF(ISNUMBER(D27),D27,0)</f>
        <v/>
      </c>
      <c r="Q19" s="16">
        <f>IF(ISNUMBER(D22),D22,0)+IF(ISNUMBER(F25),F25,0)+IF(ISNUMBER(F27),F27,0)</f>
        <v/>
      </c>
      <c r="R19" s="16">
        <f>P19-Q19</f>
        <v/>
      </c>
      <c r="S19" s="16">
        <f>M19*3+N19</f>
        <v/>
      </c>
      <c r="T19">
        <f>S19*100000000 + (R19+100)*100000 + P19*1000 + IFERROR(VLOOKUP(K19, RankingFIFA!$A$1:$B$48, 2, FALSE), 0)</f>
        <v/>
      </c>
    </row>
    <row r="20">
      <c r="J20" t="inlineStr">
        <is>
          <t>C</t>
        </is>
      </c>
      <c r="K20" t="inlineStr">
        <is>
          <t>Haití</t>
        </is>
      </c>
      <c r="L20" s="16">
        <f>IF(ISNUMBER(D23),1,0)+IF(ISNUMBER(F24),1,0)+IF(ISNUMBER(F27),1,0)</f>
        <v/>
      </c>
      <c r="M20" s="16">
        <f>IF(AND(ISNUMBER(D23),ISNUMBER(F23),D23&gt;F23),1,0)+IF(AND(ISNUMBER(F24),ISNUMBER(D24),F24&gt;D24),1,0)+IF(AND(ISNUMBER(F27),ISNUMBER(D27),F27&gt;D27),1,0)</f>
        <v/>
      </c>
      <c r="N20" s="16">
        <f>IF(AND(ISNUMBER(D23),ISNUMBER(F23),D23=F23),1,0)+IF(AND(ISNUMBER(F24),ISNUMBER(D24),F24=D24),1,0)+IF(AND(ISNUMBER(F27),ISNUMBER(D27),F27=D27),1,0)</f>
        <v/>
      </c>
      <c r="O20" s="16">
        <f>IF(AND(ISNUMBER(D23),ISNUMBER(F23),D23&lt;F23),1,0)+IF(AND(ISNUMBER(F24),ISNUMBER(D24),F24&lt;D24),1,0)+IF(AND(ISNUMBER(F27),ISNUMBER(D27),F27&lt;D27),1,0)</f>
        <v/>
      </c>
      <c r="P20" s="16">
        <f>IF(ISNUMBER(D23),D23,0)+IF(ISNUMBER(F24),F24,0)+IF(ISNUMBER(F27),F27,0)</f>
        <v/>
      </c>
      <c r="Q20" s="16">
        <f>IF(ISNUMBER(F23),F23,0)+IF(ISNUMBER(D24),D24,0)+IF(ISNUMBER(D27),D27,0)</f>
        <v/>
      </c>
      <c r="R20" s="16">
        <f>P20-Q20</f>
        <v/>
      </c>
      <c r="S20" s="16">
        <f>M20*3+N20</f>
        <v/>
      </c>
      <c r="T20">
        <f>S20*100000000 + (R20+100)*100000 + P20*1000 + IFERROR(VLOOKUP(K20, RankingFIFA!$A$1:$B$48, 2, FALSE), 0)</f>
        <v/>
      </c>
    </row>
    <row r="21" ht="18.75" customHeight="1" s="10">
      <c r="A21" s="20" t="inlineStr">
        <is>
          <t>GRUPO C</t>
        </is>
      </c>
      <c r="J21" t="inlineStr">
        <is>
          <t>C</t>
        </is>
      </c>
      <c r="K21" t="inlineStr">
        <is>
          <t>Escocia</t>
        </is>
      </c>
      <c r="L21" s="16">
        <f>IF(ISNUMBER(F23),1,0)+IF(ISNUMBER(F25),1,0)+IF(ISNUMBER(D26),1,0)</f>
        <v/>
      </c>
      <c r="M21" s="16">
        <f>IF(AND(ISNUMBER(F23),ISNUMBER(D23),F23&gt;D23),1,0)+IF(AND(ISNUMBER(F25),ISNUMBER(D25),F25&gt;D25),1,0)+IF(AND(ISNUMBER(D26),ISNUMBER(F26),D26&gt;F26),1,0)</f>
        <v/>
      </c>
      <c r="N21" s="16">
        <f>IF(AND(ISNUMBER(F23),ISNUMBER(D23),F23=D23),1,0)+IF(AND(ISNUMBER(F25),ISNUMBER(D25),F25=D25),1,0)+IF(AND(ISNUMBER(D26),ISNUMBER(F26),D26=F26),1,0)</f>
        <v/>
      </c>
      <c r="O21" s="16">
        <f>IF(AND(ISNUMBER(F23),ISNUMBER(D23),F23&lt;D23),1,0)+IF(AND(ISNUMBER(F25),ISNUMBER(D25),F25&lt;D25),1,0)+IF(AND(ISNUMBER(D26),ISNUMBER(F26),D26&lt;F26),1,0)</f>
        <v/>
      </c>
      <c r="P21" s="16">
        <f>IF(ISNUMBER(F23),F23,0)+IF(ISNUMBER(F25),F25,0)+IF(ISNUMBER(D26),D26,0)</f>
        <v/>
      </c>
      <c r="Q21" s="16">
        <f>IF(ISNUMBER(D23),D23,0)+IF(ISNUMBER(D25),D25,0)+IF(ISNUMBER(F26),F26,0)</f>
        <v/>
      </c>
      <c r="R21" s="16">
        <f>P21-Q21</f>
        <v/>
      </c>
      <c r="S21" s="16">
        <f>M21*3+N21</f>
        <v/>
      </c>
      <c r="T21">
        <f>S21*100000000 + (R21+100)*100000 + P21*1000 + IFERROR(VLOOKUP(K21, RankingFIFA!$A$1:$B$48, 2, FALSE), 0)</f>
        <v/>
      </c>
    </row>
    <row r="22">
      <c r="C22" s="4" t="inlineStr">
        <is>
          <t>Brasil</t>
        </is>
      </c>
      <c r="D22" s="15" t="n">
        <v>3</v>
      </c>
      <c r="E22" s="5" t="inlineStr">
        <is>
          <t>-</t>
        </is>
      </c>
      <c r="F22" s="15" t="n">
        <v>0</v>
      </c>
      <c r="G22" s="6" t="inlineStr">
        <is>
          <t>Marruecos</t>
        </is>
      </c>
      <c r="H22">
        <f>IF(AND(ISNUMBER(D22),ISNUMBER(F22)),"Ok","")</f>
        <v/>
      </c>
    </row>
    <row r="23" ht="18.75" customHeight="1" s="10">
      <c r="C23" s="4" t="inlineStr">
        <is>
          <t>Haití</t>
        </is>
      </c>
      <c r="D23" s="15" t="n">
        <v>0</v>
      </c>
      <c r="E23" s="5" t="inlineStr">
        <is>
          <t>-</t>
        </is>
      </c>
      <c r="F23" s="15" t="n">
        <v>2</v>
      </c>
      <c r="G23" s="6" t="inlineStr">
        <is>
          <t>Escocia</t>
        </is>
      </c>
      <c r="H23">
        <f>IF(AND(ISNUMBER(D23),ISNUMBER(F23)),"Ok","")</f>
        <v/>
      </c>
      <c r="J23" s="20" t="inlineStr">
        <is>
          <t>CLASIFICACIÓN GRUPO D</t>
        </is>
      </c>
    </row>
    <row r="24">
      <c r="C24" s="4" t="inlineStr">
        <is>
          <t>Brasil</t>
        </is>
      </c>
      <c r="D24" s="15" t="n">
        <v>4</v>
      </c>
      <c r="E24" s="5" t="inlineStr">
        <is>
          <t>-</t>
        </is>
      </c>
      <c r="F24" s="15" t="n">
        <v>1</v>
      </c>
      <c r="G24" s="6" t="inlineStr">
        <is>
          <t>Haití</t>
        </is>
      </c>
      <c r="H24">
        <f>IF(AND(ISNUMBER(D24),ISNUMBER(F24)),"Ok","")</f>
        <v/>
      </c>
      <c r="J24" t="inlineStr">
        <is>
          <t>D</t>
        </is>
      </c>
      <c r="K24" t="inlineStr">
        <is>
          <t>Estados Unidos</t>
        </is>
      </c>
      <c r="L24" s="16">
        <f>IF(ISNUMBER(D30),1,0)+IF(ISNUMBER(D32),1,0)+IF(ISNUMBER(F34),1,0)</f>
        <v/>
      </c>
      <c r="M24" s="16">
        <f>IF(AND(ISNUMBER(D30),ISNUMBER(F30),D30&gt;F30),1,0)+IF(AND(ISNUMBER(D32),ISNUMBER(F32),D32&gt;F32),1,0)+IF(AND(ISNUMBER(F34),ISNUMBER(D34),F34&gt;D34),1,0)</f>
        <v/>
      </c>
      <c r="N24" s="16">
        <f>IF(AND(ISNUMBER(D30),ISNUMBER(F30),D30=F30),1,0)+IF(AND(ISNUMBER(D32),ISNUMBER(F32),D32=F32),1,0)+IF(AND(ISNUMBER(F34),ISNUMBER(D34),F34=D34),1,0)</f>
        <v/>
      </c>
      <c r="O24" s="16">
        <f>IF(AND(ISNUMBER(D30),ISNUMBER(F30),D30&lt;F30),1,0)+IF(AND(ISNUMBER(D32),ISNUMBER(F32),D32&lt;F32),1,0)+IF(AND(ISNUMBER(F34),ISNUMBER(D34),F34&lt;D34),1,0)</f>
        <v/>
      </c>
      <c r="P24" s="16">
        <f>IF(ISNUMBER(D30),D30,0)+IF(ISNUMBER(D32),D32,0)+IF(ISNUMBER(F34),F34,0)</f>
        <v/>
      </c>
      <c r="Q24" s="16">
        <f>IF(ISNUMBER(F30),F30,0)+IF(ISNUMBER(F32),F32,0)+IF(ISNUMBER(D34),D34,0)</f>
        <v/>
      </c>
      <c r="R24" s="16">
        <f>P24-Q24</f>
        <v/>
      </c>
      <c r="S24" s="16">
        <f>M24*3+N24</f>
        <v/>
      </c>
      <c r="T24">
        <f>S24*100000000 + (R24+100)*100000 + P24*1000 + IFERROR(VLOOKUP(K24, RankingFIFA!$A$1:$B$48, 2, FALSE), 0)</f>
        <v/>
      </c>
    </row>
    <row r="25">
      <c r="C25" s="4" t="inlineStr">
        <is>
          <t>Marruecos</t>
        </is>
      </c>
      <c r="D25" s="15" t="n">
        <v>3</v>
      </c>
      <c r="E25" s="5" t="inlineStr">
        <is>
          <t>-</t>
        </is>
      </c>
      <c r="F25" s="15" t="n">
        <v>1</v>
      </c>
      <c r="G25" s="6" t="inlineStr">
        <is>
          <t>Escocia</t>
        </is>
      </c>
      <c r="H25">
        <f>IF(AND(ISNUMBER(D25),ISNUMBER(F25)),"Ok","")</f>
        <v/>
      </c>
      <c r="J25" t="inlineStr">
        <is>
          <t>D</t>
        </is>
      </c>
      <c r="K25" t="inlineStr">
        <is>
          <t>Paraguay</t>
        </is>
      </c>
      <c r="L25" s="16">
        <f>IF(ISNUMBER(F30),1,0)+IF(ISNUMBER(D33),1,0)+IF(ISNUMBER(D35),1,0)</f>
        <v/>
      </c>
      <c r="M25" s="16">
        <f>IF(AND(ISNUMBER(F30),ISNUMBER(D30),F30&gt;D30),1,0)+IF(AND(ISNUMBER(D33),ISNUMBER(F33),D33&gt;F33),1,0)+IF(AND(ISNUMBER(D35),ISNUMBER(F35),D35&gt;F35),1,0)</f>
        <v/>
      </c>
      <c r="N25" s="16">
        <f>IF(AND(ISNUMBER(F30),ISNUMBER(D30),F30=D30),1,0)+IF(AND(ISNUMBER(D33),ISNUMBER(F33),D33=F33),1,0)+IF(AND(ISNUMBER(D35),ISNUMBER(F35),D35=F35),1,0)</f>
        <v/>
      </c>
      <c r="O25" s="16">
        <f>IF(AND(ISNUMBER(F30),ISNUMBER(D30),F30&lt;D30),1,0)+IF(AND(ISNUMBER(D33),ISNUMBER(F33),D33&lt;F33),1,0)+IF(AND(ISNUMBER(D35),ISNUMBER(F35),D35&lt;F35),1,0)</f>
        <v/>
      </c>
      <c r="P25" s="16">
        <f>IF(ISNUMBER(F30),F30,0)+IF(ISNUMBER(D33),D33,0)+IF(ISNUMBER(D35),D35,0)</f>
        <v/>
      </c>
      <c r="Q25" s="16">
        <f>IF(ISNUMBER(D30),D30,0)+IF(ISNUMBER(F33),F33,0)+IF(ISNUMBER(F35),F35,0)</f>
        <v/>
      </c>
      <c r="R25" s="16">
        <f>P25-Q25</f>
        <v/>
      </c>
      <c r="S25" s="16">
        <f>M25*3+N25</f>
        <v/>
      </c>
      <c r="T25">
        <f>S25*100000000 + (R25+100)*100000 + P25*1000 + IFERROR(VLOOKUP(K25, RankingFIFA!$A$1:$B$48, 2, FALSE), 0)</f>
        <v/>
      </c>
    </row>
    <row r="26">
      <c r="C26" s="4" t="inlineStr">
        <is>
          <t>Escocia</t>
        </is>
      </c>
      <c r="D26" s="15" t="n">
        <v>1</v>
      </c>
      <c r="E26" s="5" t="inlineStr">
        <is>
          <t>-</t>
        </is>
      </c>
      <c r="F26" s="15" t="n">
        <v>5</v>
      </c>
      <c r="G26" s="6" t="inlineStr">
        <is>
          <t>Brasil</t>
        </is>
      </c>
      <c r="H26">
        <f>IF(AND(ISNUMBER(D26),ISNUMBER(F26)),"Ok","")</f>
        <v/>
      </c>
      <c r="J26" t="inlineStr">
        <is>
          <t>D</t>
        </is>
      </c>
      <c r="K26" t="inlineStr">
        <is>
          <t>Australia</t>
        </is>
      </c>
      <c r="L26" s="16">
        <f>IF(ISNUMBER(D31),1,0)+IF(ISNUMBER(F32),1,0)+IF(ISNUMBER(F35),1,0)</f>
        <v/>
      </c>
      <c r="M26" s="16">
        <f>IF(AND(ISNUMBER(D31),ISNUMBER(F31),D31&gt;F31),1,0)+IF(AND(ISNUMBER(F32),ISNUMBER(D32),F32&gt;D32),1,0)+IF(AND(ISNUMBER(F35),ISNUMBER(D35),F35&gt;D35),1,0)</f>
        <v/>
      </c>
      <c r="N26" s="16">
        <f>IF(AND(ISNUMBER(D31),ISNUMBER(F31),D31=F31),1,0)+IF(AND(ISNUMBER(F32),ISNUMBER(D32),F32=D32),1,0)+IF(AND(ISNUMBER(F35),ISNUMBER(D35),F35=D35),1,0)</f>
        <v/>
      </c>
      <c r="O26" s="16">
        <f>IF(AND(ISNUMBER(D31),ISNUMBER(F31),D31&lt;F31),1,0)+IF(AND(ISNUMBER(F32),ISNUMBER(D32),F32&lt;D32),1,0)+IF(AND(ISNUMBER(F35),ISNUMBER(D35),F35&lt;D35),1,0)</f>
        <v/>
      </c>
      <c r="P26" s="16">
        <f>IF(ISNUMBER(D31),D31,0)+IF(ISNUMBER(F32),F32,0)+IF(ISNUMBER(F35),F35,0)</f>
        <v/>
      </c>
      <c r="Q26" s="16">
        <f>IF(ISNUMBER(F31),F31,0)+IF(ISNUMBER(D32),D32,0)+IF(ISNUMBER(D35),D35,0)</f>
        <v/>
      </c>
      <c r="R26" s="16">
        <f>P26-Q26</f>
        <v/>
      </c>
      <c r="S26" s="16">
        <f>M26*3+N26</f>
        <v/>
      </c>
      <c r="T26">
        <f>S26*100000000 + (R26+100)*100000 + P26*1000 + IFERROR(VLOOKUP(K26, RankingFIFA!$A$1:$B$48, 2, FALSE), 0)</f>
        <v/>
      </c>
    </row>
    <row r="27">
      <c r="C27" s="4" t="inlineStr">
        <is>
          <t>Marruecos</t>
        </is>
      </c>
      <c r="D27" s="15" t="n">
        <v>2</v>
      </c>
      <c r="E27" s="5" t="inlineStr">
        <is>
          <t>-</t>
        </is>
      </c>
      <c r="F27" s="15" t="n">
        <v>1</v>
      </c>
      <c r="G27" s="6" t="inlineStr">
        <is>
          <t>Haití</t>
        </is>
      </c>
      <c r="H27">
        <f>IF(AND(ISNUMBER(D27),ISNUMBER(F27)),"Ok","")</f>
        <v/>
      </c>
      <c r="J27" t="inlineStr">
        <is>
          <t>D</t>
        </is>
      </c>
      <c r="K27" t="inlineStr">
        <is>
          <t>Turquía</t>
        </is>
      </c>
      <c r="L27" s="16">
        <f>IF(ISNUMBER(F31),1,0)+IF(ISNUMBER(F33),1,0)+IF(ISNUMBER(D34),1,0)</f>
        <v/>
      </c>
      <c r="M27" s="16">
        <f>IF(AND(ISNUMBER(F31),ISNUMBER(D31),F31&gt;D31),1,0)+IF(AND(ISNUMBER(F33),ISNUMBER(D33),F33&gt;D33),1,0)+IF(AND(ISNUMBER(D34),ISNUMBER(F34),D34&gt;F34),1,0)</f>
        <v/>
      </c>
      <c r="N27" s="16">
        <f>IF(AND(ISNUMBER(F31),ISNUMBER(D31),F31=D31),1,0)+IF(AND(ISNUMBER(F33),ISNUMBER(D33),F33=D33),1,0)+IF(AND(ISNUMBER(D34),ISNUMBER(F34),D34=F34),1,0)</f>
        <v/>
      </c>
      <c r="O27" s="16">
        <f>IF(AND(ISNUMBER(F31),ISNUMBER(D31),F31&lt;D31),1,0)+IF(AND(ISNUMBER(F33),ISNUMBER(D33),F33&lt;D33),1,0)+IF(AND(ISNUMBER(D34),ISNUMBER(F34),D34&lt;F34),1,0)</f>
        <v/>
      </c>
      <c r="P27" s="16">
        <f>IF(ISNUMBER(F31),F31,0)+IF(ISNUMBER(F33),F33,0)+IF(ISNUMBER(D34),D34,0)</f>
        <v/>
      </c>
      <c r="Q27" s="16">
        <f>IF(ISNUMBER(D31),D31,0)+IF(ISNUMBER(D33),D33,0)+IF(ISNUMBER(F34),F34,0)</f>
        <v/>
      </c>
      <c r="R27" s="16">
        <f>P27-Q27</f>
        <v/>
      </c>
      <c r="S27" s="16">
        <f>M27*3+N27</f>
        <v/>
      </c>
      <c r="T27">
        <f>S27*100000000 + (R27+100)*100000 + P27*1000 + IFERROR(VLOOKUP(K27, RankingFIFA!$A$1:$B$48, 2, FALSE), 0)</f>
        <v/>
      </c>
    </row>
    <row r="29" ht="18.75" customHeight="1" s="10">
      <c r="A29" s="20" t="inlineStr">
        <is>
          <t>GRUPO D</t>
        </is>
      </c>
      <c r="J29" s="20" t="inlineStr">
        <is>
          <t>CLASIFICACIÓN GRUPO E</t>
        </is>
      </c>
    </row>
    <row r="30">
      <c r="C30" s="4" t="inlineStr">
        <is>
          <t>Estados Unidos</t>
        </is>
      </c>
      <c r="D30" s="15" t="n">
        <v>2</v>
      </c>
      <c r="E30" s="5" t="inlineStr">
        <is>
          <t>-</t>
        </is>
      </c>
      <c r="F30" s="15" t="n">
        <v>2</v>
      </c>
      <c r="G30" s="6" t="inlineStr">
        <is>
          <t>Paraguay</t>
        </is>
      </c>
      <c r="H30">
        <f>IF(AND(ISNUMBER(D30),ISNUMBER(F30)),"Ok","")</f>
        <v/>
      </c>
      <c r="J30" t="inlineStr">
        <is>
          <t>E</t>
        </is>
      </c>
      <c r="K30" t="inlineStr">
        <is>
          <t>Alemania</t>
        </is>
      </c>
      <c r="L30" s="16">
        <f>IF(ISNUMBER(D38),1,0)+IF(ISNUMBER(D40),1,0)+IF(ISNUMBER(F42),1,0)</f>
        <v/>
      </c>
      <c r="M30" s="16">
        <f>IF(AND(ISNUMBER(D38),ISNUMBER(F38),D38&gt;F38),1,0)+IF(AND(ISNUMBER(D40),ISNUMBER(F40),D40&gt;F40),1,0)+IF(AND(ISNUMBER(F42),ISNUMBER(D42),F42&gt;D42),1,0)</f>
        <v/>
      </c>
      <c r="N30" s="16">
        <f>IF(AND(ISNUMBER(D38),ISNUMBER(F38),D38=F38),1,0)+IF(AND(ISNUMBER(D40),ISNUMBER(F40),D40=F40),1,0)+IF(AND(ISNUMBER(F42),ISNUMBER(D42),F42=D42),1,0)</f>
        <v/>
      </c>
      <c r="O30" s="16">
        <f>IF(AND(ISNUMBER(D38),ISNUMBER(F38),D38&lt;F38),1,0)+IF(AND(ISNUMBER(D40),ISNUMBER(F40),D40&lt;F40),1,0)+IF(AND(ISNUMBER(F42),ISNUMBER(D42),F42&lt;D42),1,0)</f>
        <v/>
      </c>
      <c r="P30" s="16">
        <f>IF(ISNUMBER(D38),D38,0)+IF(ISNUMBER(D40),D40,0)+IF(ISNUMBER(F42),F42,0)</f>
        <v/>
      </c>
      <c r="Q30" s="16">
        <f>IF(ISNUMBER(F38),F38,0)+IF(ISNUMBER(F40),F40,0)+IF(ISNUMBER(D42),D42,0)</f>
        <v/>
      </c>
      <c r="R30" s="16">
        <f>P30-Q30</f>
        <v/>
      </c>
      <c r="S30" s="16">
        <f>M30*3+N30</f>
        <v/>
      </c>
      <c r="T30">
        <f>S30*100000000 + (R30+100)*100000 + P30*1000 + IFERROR(VLOOKUP(K30, RankingFIFA!$A$1:$B$48, 2, FALSE), 0)</f>
        <v/>
      </c>
    </row>
    <row r="31">
      <c r="C31" s="4" t="inlineStr">
        <is>
          <t>Australia</t>
        </is>
      </c>
      <c r="D31" s="15" t="n">
        <v>1</v>
      </c>
      <c r="E31" s="5" t="inlineStr">
        <is>
          <t>-</t>
        </is>
      </c>
      <c r="F31" s="15" t="n">
        <v>3</v>
      </c>
      <c r="G31" s="6" t="inlineStr">
        <is>
          <t>Turquía</t>
        </is>
      </c>
      <c r="H31">
        <f>IF(AND(ISNUMBER(D31),ISNUMBER(F31)),"Ok","")</f>
        <v/>
      </c>
      <c r="J31" t="inlineStr">
        <is>
          <t>E</t>
        </is>
      </c>
      <c r="K31" t="inlineStr">
        <is>
          <t>Curaçao</t>
        </is>
      </c>
      <c r="L31" s="16">
        <f>IF(ISNUMBER(F38),1,0)+IF(ISNUMBER(D41),1,0)+IF(ISNUMBER(D43),1,0)</f>
        <v/>
      </c>
      <c r="M31" s="16">
        <f>IF(AND(ISNUMBER(F38),ISNUMBER(D38),F38&gt;D38),1,0)+IF(AND(ISNUMBER(D41),ISNUMBER(F41),D41&gt;F41),1,0)+IF(AND(ISNUMBER(D43),ISNUMBER(F43),D43&gt;F43),1,0)</f>
        <v/>
      </c>
      <c r="N31" s="16">
        <f>IF(AND(ISNUMBER(F38),ISNUMBER(D38),F38=D38),1,0)+IF(AND(ISNUMBER(D41),ISNUMBER(F41),D41=F41),1,0)+IF(AND(ISNUMBER(D43),ISNUMBER(F43),D43=F43),1,0)</f>
        <v/>
      </c>
      <c r="O31" s="16">
        <f>IF(AND(ISNUMBER(F38),ISNUMBER(D38),F38&lt;D38),1,0)+IF(AND(ISNUMBER(D41),ISNUMBER(F41),D41&lt;F41),1,0)+IF(AND(ISNUMBER(D43),ISNUMBER(F43),D43&lt;F43),1,0)</f>
        <v/>
      </c>
      <c r="P31" s="16">
        <f>IF(ISNUMBER(F38),F38,0)+IF(ISNUMBER(D41),D41,0)+IF(ISNUMBER(D43),D43,0)</f>
        <v/>
      </c>
      <c r="Q31" s="16">
        <f>IF(ISNUMBER(D38),D38,0)+IF(ISNUMBER(F41),F41,0)+IF(ISNUMBER(F43),F43,0)</f>
        <v/>
      </c>
      <c r="R31" s="16">
        <f>P31-Q31</f>
        <v/>
      </c>
      <c r="S31" s="16">
        <f>M31*3+N31</f>
        <v/>
      </c>
      <c r="T31">
        <f>S31*100000000 + (R31+100)*100000 + P31*1000 + IFERROR(VLOOKUP(K31, RankingFIFA!$A$1:$B$48, 2, FALSE), 0)</f>
        <v/>
      </c>
    </row>
    <row r="32">
      <c r="C32" s="4" t="inlineStr">
        <is>
          <t>Estados Unidos</t>
        </is>
      </c>
      <c r="D32" s="15" t="n">
        <v>1</v>
      </c>
      <c r="E32" s="5" t="inlineStr">
        <is>
          <t>-</t>
        </is>
      </c>
      <c r="F32" s="15" t="n">
        <v>1</v>
      </c>
      <c r="G32" s="6" t="inlineStr">
        <is>
          <t>Australia</t>
        </is>
      </c>
      <c r="H32">
        <f>IF(AND(ISNUMBER(D32),ISNUMBER(F32)),"Ok","")</f>
        <v/>
      </c>
      <c r="J32" t="inlineStr">
        <is>
          <t>E</t>
        </is>
      </c>
      <c r="K32" t="inlineStr">
        <is>
          <t>Costa de Marfil</t>
        </is>
      </c>
      <c r="L32" s="16">
        <f>IF(ISNUMBER(D39),1,0)+IF(ISNUMBER(F40),1,0)+IF(ISNUMBER(F43),1,0)</f>
        <v/>
      </c>
      <c r="M32" s="16">
        <f>IF(AND(ISNUMBER(D39),ISNUMBER(F39),D39&gt;F39),1,0)+IF(AND(ISNUMBER(F40),ISNUMBER(D40),F40&gt;D40),1,0)+IF(AND(ISNUMBER(F43),ISNUMBER(D43),F43&gt;D43),1,0)</f>
        <v/>
      </c>
      <c r="N32" s="16">
        <f>IF(AND(ISNUMBER(D39),ISNUMBER(F39),D39=F39),1,0)+IF(AND(ISNUMBER(F40),ISNUMBER(D40),F40=D40),1,0)+IF(AND(ISNUMBER(F43),ISNUMBER(D43),F43=D43),1,0)</f>
        <v/>
      </c>
      <c r="O32" s="16">
        <f>IF(AND(ISNUMBER(D39),ISNUMBER(F39),D39&lt;F39),1,0)+IF(AND(ISNUMBER(F40),ISNUMBER(D40),F40&lt;D40),1,0)+IF(AND(ISNUMBER(F43),ISNUMBER(D43),F43&lt;D43),1,0)</f>
        <v/>
      </c>
      <c r="P32" s="16">
        <f>IF(ISNUMBER(D39),D39,0)+IF(ISNUMBER(F40),F40,0)+IF(ISNUMBER(F43),F43,0)</f>
        <v/>
      </c>
      <c r="Q32" s="16">
        <f>IF(ISNUMBER(F39),F39,0)+IF(ISNUMBER(D40),D40,0)+IF(ISNUMBER(D43),D43,0)</f>
        <v/>
      </c>
      <c r="R32" s="16">
        <f>P32-Q32</f>
        <v/>
      </c>
      <c r="S32" s="16">
        <f>M32*3+N32</f>
        <v/>
      </c>
      <c r="T32">
        <f>S32*100000000 + (R32+100)*100000 + P32*1000 + IFERROR(VLOOKUP(K32, RankingFIFA!$A$1:$B$48, 2, FALSE), 0)</f>
        <v/>
      </c>
    </row>
    <row r="33">
      <c r="C33" s="4" t="inlineStr">
        <is>
          <t>Paraguay</t>
        </is>
      </c>
      <c r="D33" s="15" t="n">
        <v>0</v>
      </c>
      <c r="E33" s="5" t="inlineStr">
        <is>
          <t>-</t>
        </is>
      </c>
      <c r="F33" s="15" t="n">
        <v>0</v>
      </c>
      <c r="G33" s="6" t="inlineStr">
        <is>
          <t>Turquía</t>
        </is>
      </c>
      <c r="H33">
        <f>IF(AND(ISNUMBER(D33),ISNUMBER(F33)),"Ok","")</f>
        <v/>
      </c>
      <c r="J33" t="inlineStr">
        <is>
          <t>E</t>
        </is>
      </c>
      <c r="K33" t="inlineStr">
        <is>
          <t>Ecuador</t>
        </is>
      </c>
      <c r="L33" s="16">
        <f>IF(ISNUMBER(F39),1,0)+IF(ISNUMBER(F41),1,0)+IF(ISNUMBER(D42),1,0)</f>
        <v/>
      </c>
      <c r="M33" s="16">
        <f>IF(AND(ISNUMBER(F39),ISNUMBER(D39),F39&gt;D39),1,0)+IF(AND(ISNUMBER(F41),ISNUMBER(D41),F41&gt;D41),1,0)+IF(AND(ISNUMBER(D42),ISNUMBER(F42),D42&gt;F42),1,0)</f>
        <v/>
      </c>
      <c r="N33" s="16">
        <f>IF(AND(ISNUMBER(F39),ISNUMBER(D39),F39=D39),1,0)+IF(AND(ISNUMBER(F41),ISNUMBER(D41),F41=D41),1,0)+IF(AND(ISNUMBER(D42),ISNUMBER(F42),D42=F42),1,0)</f>
        <v/>
      </c>
      <c r="O33" s="16">
        <f>IF(AND(ISNUMBER(F39),ISNUMBER(D39),F39&lt;D39),1,0)+IF(AND(ISNUMBER(F41),ISNUMBER(D41),F41&lt;D41),1,0)+IF(AND(ISNUMBER(D42),ISNUMBER(F42),D42&lt;F42),1,0)</f>
        <v/>
      </c>
      <c r="P33" s="16">
        <f>IF(ISNUMBER(F39),F39,0)+IF(ISNUMBER(F41),F41,0)+IF(ISNUMBER(D42),D42,0)</f>
        <v/>
      </c>
      <c r="Q33" s="16">
        <f>IF(ISNUMBER(D39),D39,0)+IF(ISNUMBER(D41),D41,0)+IF(ISNUMBER(F42),F42,0)</f>
        <v/>
      </c>
      <c r="R33" s="16">
        <f>P33-Q33</f>
        <v/>
      </c>
      <c r="S33" s="16">
        <f>M33*3+N33</f>
        <v/>
      </c>
      <c r="T33">
        <f>S33*100000000 + (R33+100)*100000 + P33*1000 + IFERROR(VLOOKUP(K33, RankingFIFA!$A$1:$B$48, 2, FALSE), 0)</f>
        <v/>
      </c>
    </row>
    <row r="34">
      <c r="C34" s="4" t="inlineStr">
        <is>
          <t>Turquía</t>
        </is>
      </c>
      <c r="D34" s="15" t="n">
        <v>3</v>
      </c>
      <c r="E34" s="5" t="inlineStr">
        <is>
          <t>-</t>
        </is>
      </c>
      <c r="F34" s="15" t="n">
        <v>2</v>
      </c>
      <c r="G34" s="6" t="inlineStr">
        <is>
          <t>Estados Unidos</t>
        </is>
      </c>
      <c r="H34">
        <f>IF(AND(ISNUMBER(D34),ISNUMBER(F34)),"Ok","")</f>
        <v/>
      </c>
    </row>
    <row r="35" ht="18.75" customHeight="1" s="10">
      <c r="C35" s="4" t="inlineStr">
        <is>
          <t>Paraguay</t>
        </is>
      </c>
      <c r="D35" s="15" t="n">
        <v>2</v>
      </c>
      <c r="E35" s="5" t="inlineStr">
        <is>
          <t>-</t>
        </is>
      </c>
      <c r="F35" s="15" t="n">
        <v>2</v>
      </c>
      <c r="G35" s="6" t="inlineStr">
        <is>
          <t>Australia</t>
        </is>
      </c>
      <c r="H35">
        <f>IF(AND(ISNUMBER(D35),ISNUMBER(F35)),"Ok","")</f>
        <v/>
      </c>
      <c r="J35" s="20" t="inlineStr">
        <is>
          <t>CLASIFICACIÓN GRUPO F</t>
        </is>
      </c>
    </row>
    <row r="36">
      <c r="J36" t="inlineStr">
        <is>
          <t>F</t>
        </is>
      </c>
      <c r="K36" t="inlineStr">
        <is>
          <t>Países Bajos</t>
        </is>
      </c>
      <c r="L36" s="16">
        <f>IF(ISNUMBER(D46),1,0)+IF(ISNUMBER(D48),1,0)+IF(ISNUMBER(F50),1,0)</f>
        <v/>
      </c>
      <c r="M36" s="16">
        <f>IF(AND(ISNUMBER(D46),ISNUMBER(F46),D46&gt;F46),1,0)+IF(AND(ISNUMBER(D48),ISNUMBER(F48),D48&gt;F48),1,0)+IF(AND(ISNUMBER(F50),ISNUMBER(D50),F50&gt;D50),1,0)</f>
        <v/>
      </c>
      <c r="N36" s="16">
        <f>IF(AND(ISNUMBER(D46),ISNUMBER(F46),D46=F46),1,0)+IF(AND(ISNUMBER(D48),ISNUMBER(F48),D48=F48),1,0)+IF(AND(ISNUMBER(F50),ISNUMBER(D50),F50=D50),1,0)</f>
        <v/>
      </c>
      <c r="O36" s="16">
        <f>IF(AND(ISNUMBER(D46),ISNUMBER(F46),D46&lt;F46),1,0)+IF(AND(ISNUMBER(D48),ISNUMBER(F48),D48&lt;F48),1,0)+IF(AND(ISNUMBER(F50),ISNUMBER(D50),F50&lt;D50),1,0)</f>
        <v/>
      </c>
      <c r="P36" s="16">
        <f>IF(ISNUMBER(D46),D46,0)+IF(ISNUMBER(D48),D48,0)+IF(ISNUMBER(F50),F50,0)</f>
        <v/>
      </c>
      <c r="Q36" s="16">
        <f>IF(ISNUMBER(F46),F46,0)+IF(ISNUMBER(F48),F48,0)+IF(ISNUMBER(D50),D50,0)</f>
        <v/>
      </c>
      <c r="R36" s="16">
        <f>P36-Q36</f>
        <v/>
      </c>
      <c r="S36" s="16">
        <f>M36*3+N36</f>
        <v/>
      </c>
      <c r="T36">
        <f>S36*100000000 + (R36+100)*100000 + P36*1000 + IFERROR(VLOOKUP(K36, RankingFIFA!$A$1:$B$48, 2, FALSE), 0)</f>
        <v/>
      </c>
    </row>
    <row r="37" ht="18.75" customHeight="1" s="10">
      <c r="A37" s="20" t="inlineStr">
        <is>
          <t>GRUPO E</t>
        </is>
      </c>
      <c r="J37" t="inlineStr">
        <is>
          <t>F</t>
        </is>
      </c>
      <c r="K37" t="inlineStr">
        <is>
          <t>Japón</t>
        </is>
      </c>
      <c r="L37" s="16">
        <f>IF(ISNUMBER(F46),1,0)+IF(ISNUMBER(D49),1,0)+IF(ISNUMBER(D51),1,0)</f>
        <v/>
      </c>
      <c r="M37" s="16">
        <f>IF(AND(ISNUMBER(F46),ISNUMBER(D46),F46&gt;D46),1,0)+IF(AND(ISNUMBER(D49),ISNUMBER(F49),D49&gt;F49),1,0)+IF(AND(ISNUMBER(D51),ISNUMBER(F51),D51&gt;F51),1,0)</f>
        <v/>
      </c>
      <c r="N37" s="16">
        <f>IF(AND(ISNUMBER(F46),ISNUMBER(D46),F46=D46),1,0)+IF(AND(ISNUMBER(D49),ISNUMBER(F49),D49=F49),1,0)+IF(AND(ISNUMBER(D51),ISNUMBER(F51),D51=F51),1,0)</f>
        <v/>
      </c>
      <c r="O37" s="16">
        <f>IF(AND(ISNUMBER(F46),ISNUMBER(D46),F46&lt;D46),1,0)+IF(AND(ISNUMBER(D49),ISNUMBER(F49),D49&lt;F49),1,0)+IF(AND(ISNUMBER(D51),ISNUMBER(F51),D51&lt;F51),1,0)</f>
        <v/>
      </c>
      <c r="P37" s="16">
        <f>IF(ISNUMBER(F46),F46,0)+IF(ISNUMBER(D49),D49,0)+IF(ISNUMBER(D51),D51,0)</f>
        <v/>
      </c>
      <c r="Q37" s="16">
        <f>IF(ISNUMBER(D46),D46,0)+IF(ISNUMBER(F49),F49,0)+IF(ISNUMBER(F51),F51,0)</f>
        <v/>
      </c>
      <c r="R37" s="16">
        <f>P37-Q37</f>
        <v/>
      </c>
      <c r="S37" s="16">
        <f>M37*3+N37</f>
        <v/>
      </c>
      <c r="T37">
        <f>S37*100000000 + (R37+100)*100000 + P37*1000 + IFERROR(VLOOKUP(K37, RankingFIFA!$A$1:$B$48, 2, FALSE), 0)</f>
        <v/>
      </c>
    </row>
    <row r="38">
      <c r="C38" s="4" t="inlineStr">
        <is>
          <t>Alemania</t>
        </is>
      </c>
      <c r="D38" s="15" t="n">
        <v>4</v>
      </c>
      <c r="E38" s="5" t="inlineStr">
        <is>
          <t>-</t>
        </is>
      </c>
      <c r="F38" s="15" t="n">
        <v>0</v>
      </c>
      <c r="G38" s="6" t="inlineStr">
        <is>
          <t>Curaçao</t>
        </is>
      </c>
      <c r="H38">
        <f>IF(AND(ISNUMBER(D38),ISNUMBER(F38)),"Ok","")</f>
        <v/>
      </c>
      <c r="J38" t="inlineStr">
        <is>
          <t>F</t>
        </is>
      </c>
      <c r="K38" t="inlineStr">
        <is>
          <t>Suecia</t>
        </is>
      </c>
      <c r="L38" s="16">
        <f>IF(ISNUMBER(D47),1,0)+IF(ISNUMBER(F48),1,0)+IF(ISNUMBER(F51),1,0)</f>
        <v/>
      </c>
      <c r="M38" s="16">
        <f>IF(AND(ISNUMBER(D47),ISNUMBER(F47),D47&gt;F47),1,0)+IF(AND(ISNUMBER(F48),ISNUMBER(D48),F48&gt;D48),1,0)+IF(AND(ISNUMBER(F51),ISNUMBER(D51),F51&gt;D51),1,0)</f>
        <v/>
      </c>
      <c r="N38" s="16">
        <f>IF(AND(ISNUMBER(D47),ISNUMBER(F47),D47=F47),1,0)+IF(AND(ISNUMBER(F48),ISNUMBER(D48),F48=D48),1,0)+IF(AND(ISNUMBER(F51),ISNUMBER(D51),F51=D51),1,0)</f>
        <v/>
      </c>
      <c r="O38" s="16">
        <f>IF(AND(ISNUMBER(D47),ISNUMBER(F47),D47&lt;F47),1,0)+IF(AND(ISNUMBER(F48),ISNUMBER(D48),F48&lt;D48),1,0)+IF(AND(ISNUMBER(F51),ISNUMBER(D51),F51&lt;D51),1,0)</f>
        <v/>
      </c>
      <c r="P38" s="16">
        <f>IF(ISNUMBER(D47),D47,0)+IF(ISNUMBER(F48),F48,0)+IF(ISNUMBER(F51),F51,0)</f>
        <v/>
      </c>
      <c r="Q38" s="16">
        <f>IF(ISNUMBER(F47),F47,0)+IF(ISNUMBER(D48),D48,0)+IF(ISNUMBER(D51),D51,0)</f>
        <v/>
      </c>
      <c r="R38" s="16">
        <f>P38-Q38</f>
        <v/>
      </c>
      <c r="S38" s="16">
        <f>M38*3+N38</f>
        <v/>
      </c>
      <c r="T38">
        <f>S38*100000000 + (R38+100)*100000 + P38*1000 + IFERROR(VLOOKUP(K38, RankingFIFA!$A$1:$B$48, 2, FALSE), 0)</f>
        <v/>
      </c>
    </row>
    <row r="39">
      <c r="C39" s="4" t="inlineStr">
        <is>
          <t>Costa de Marfil</t>
        </is>
      </c>
      <c r="D39" s="15" t="n">
        <v>2</v>
      </c>
      <c r="E39" s="5" t="inlineStr">
        <is>
          <t>-</t>
        </is>
      </c>
      <c r="F39" s="15" t="n">
        <v>1</v>
      </c>
      <c r="G39" s="6" t="inlineStr">
        <is>
          <t>Ecuador</t>
        </is>
      </c>
      <c r="H39">
        <f>IF(AND(ISNUMBER(D39),ISNUMBER(F39)),"Ok","")</f>
        <v/>
      </c>
      <c r="J39" t="inlineStr">
        <is>
          <t>F</t>
        </is>
      </c>
      <c r="K39" t="inlineStr">
        <is>
          <t>Túnez</t>
        </is>
      </c>
      <c r="L39" s="16">
        <f>IF(ISNUMBER(F47),1,0)+IF(ISNUMBER(F49),1,0)+IF(ISNUMBER(D50),1,0)</f>
        <v/>
      </c>
      <c r="M39" s="16">
        <f>IF(AND(ISNUMBER(F47),ISNUMBER(D47),F47&gt;D47),1,0)+IF(AND(ISNUMBER(F49),ISNUMBER(D49),F49&gt;D49),1,0)+IF(AND(ISNUMBER(D50),ISNUMBER(F50),D50&gt;F50),1,0)</f>
        <v/>
      </c>
      <c r="N39" s="16">
        <f>IF(AND(ISNUMBER(F47),ISNUMBER(D47),F47=D47),1,0)+IF(AND(ISNUMBER(F49),ISNUMBER(D49),F49=D49),1,0)+IF(AND(ISNUMBER(D50),ISNUMBER(F50),D50=F50),1,0)</f>
        <v/>
      </c>
      <c r="O39" s="16">
        <f>IF(AND(ISNUMBER(F47),ISNUMBER(D47),F47&lt;D47),1,0)+IF(AND(ISNUMBER(F49),ISNUMBER(D49),F49&lt;D49),1,0)+IF(AND(ISNUMBER(D50),ISNUMBER(F50),D50&lt;F50),1,0)</f>
        <v/>
      </c>
      <c r="P39" s="16">
        <f>IF(ISNUMBER(F47),F47,0)+IF(ISNUMBER(F49),F49,0)+IF(ISNUMBER(D50),D50,0)</f>
        <v/>
      </c>
      <c r="Q39" s="16">
        <f>IF(ISNUMBER(D47),D47,0)+IF(ISNUMBER(D49),D49,0)+IF(ISNUMBER(F50),F50,0)</f>
        <v/>
      </c>
      <c r="R39" s="16">
        <f>P39-Q39</f>
        <v/>
      </c>
      <c r="S39" s="16">
        <f>M39*3+N39</f>
        <v/>
      </c>
      <c r="T39">
        <f>S39*100000000 + (R39+100)*100000 + P39*1000 + IFERROR(VLOOKUP(K39, RankingFIFA!$A$1:$B$48, 2, FALSE), 0)</f>
        <v/>
      </c>
    </row>
    <row r="40">
      <c r="C40" s="4" t="inlineStr">
        <is>
          <t>Alemania</t>
        </is>
      </c>
      <c r="D40" s="15" t="n">
        <v>3</v>
      </c>
      <c r="E40" s="5" t="inlineStr">
        <is>
          <t>-</t>
        </is>
      </c>
      <c r="F40" s="15" t="n">
        <v>1</v>
      </c>
      <c r="G40" s="6" t="inlineStr">
        <is>
          <t>Costa de Marfil</t>
        </is>
      </c>
      <c r="H40">
        <f>IF(AND(ISNUMBER(D40),ISNUMBER(F40)),"Ok","")</f>
        <v/>
      </c>
    </row>
    <row r="41" ht="18.75" customHeight="1" s="10">
      <c r="C41" s="4" t="inlineStr">
        <is>
          <t>Curaçao</t>
        </is>
      </c>
      <c r="D41" s="15" t="n">
        <v>1</v>
      </c>
      <c r="E41" s="5" t="inlineStr">
        <is>
          <t>-</t>
        </is>
      </c>
      <c r="F41" s="15" t="n">
        <v>2</v>
      </c>
      <c r="G41" s="6" t="inlineStr">
        <is>
          <t>Ecuador</t>
        </is>
      </c>
      <c r="H41">
        <f>IF(AND(ISNUMBER(D41),ISNUMBER(F41)),"Ok","")</f>
        <v/>
      </c>
      <c r="J41" s="20" t="inlineStr">
        <is>
          <t>CLASIFICACIÓN GRUPO G</t>
        </is>
      </c>
    </row>
    <row r="42">
      <c r="C42" s="4" t="inlineStr">
        <is>
          <t>Ecuador</t>
        </is>
      </c>
      <c r="D42" s="15" t="n">
        <v>1</v>
      </c>
      <c r="E42" s="5" t="inlineStr">
        <is>
          <t>-</t>
        </is>
      </c>
      <c r="F42" s="15" t="n">
        <v>3</v>
      </c>
      <c r="G42" s="6" t="inlineStr">
        <is>
          <t>Alemania</t>
        </is>
      </c>
      <c r="H42">
        <f>IF(AND(ISNUMBER(D42),ISNUMBER(F42)),"Ok","")</f>
        <v/>
      </c>
      <c r="J42" t="inlineStr">
        <is>
          <t>G</t>
        </is>
      </c>
      <c r="K42" t="inlineStr">
        <is>
          <t>Bélgica</t>
        </is>
      </c>
      <c r="L42" s="16">
        <f>IF(ISNUMBER(D54),1,0)+IF(ISNUMBER(D56),1,0)+IF(ISNUMBER(F58),1,0)</f>
        <v/>
      </c>
      <c r="M42" s="16">
        <f>IF(AND(ISNUMBER(D54),ISNUMBER(F54),D54&gt;F54),1,0)+IF(AND(ISNUMBER(D56),ISNUMBER(F56),D56&gt;F56),1,0)+IF(AND(ISNUMBER(F58),ISNUMBER(D58),F58&gt;D58),1,0)</f>
        <v/>
      </c>
      <c r="N42" s="16">
        <f>IF(AND(ISNUMBER(D54),ISNUMBER(F54),D54=F54),1,0)+IF(AND(ISNUMBER(D56),ISNUMBER(F56),D56=F56),1,0)+IF(AND(ISNUMBER(F58),ISNUMBER(D58),F58=D58),1,0)</f>
        <v/>
      </c>
      <c r="O42" s="16">
        <f>IF(AND(ISNUMBER(D54),ISNUMBER(F54),D54&lt;F54),1,0)+IF(AND(ISNUMBER(D56),ISNUMBER(F56),D56&lt;F56),1,0)+IF(AND(ISNUMBER(F58),ISNUMBER(D58),F58&lt;D58),1,0)</f>
        <v/>
      </c>
      <c r="P42" s="16">
        <f>IF(ISNUMBER(D54),D54,0)+IF(ISNUMBER(D56),D56,0)+IF(ISNUMBER(F58),F58,0)</f>
        <v/>
      </c>
      <c r="Q42" s="16">
        <f>IF(ISNUMBER(F54),F54,0)+IF(ISNUMBER(F56),F56,0)+IF(ISNUMBER(D58),D58,0)</f>
        <v/>
      </c>
      <c r="R42" s="16">
        <f>P42-Q42</f>
        <v/>
      </c>
      <c r="S42" s="16">
        <f>M42*3+N42</f>
        <v/>
      </c>
      <c r="T42">
        <f>S42*100000000 + (R42+100)*100000 + P42*1000 + IFERROR(VLOOKUP(K42, RankingFIFA!$A$1:$B$48, 2, FALSE), 0)</f>
        <v/>
      </c>
    </row>
    <row r="43">
      <c r="C43" s="4" t="inlineStr">
        <is>
          <t>Curaçao</t>
        </is>
      </c>
      <c r="D43" s="15" t="n">
        <v>1</v>
      </c>
      <c r="E43" s="5" t="inlineStr">
        <is>
          <t>-</t>
        </is>
      </c>
      <c r="F43" s="15" t="n">
        <v>2</v>
      </c>
      <c r="G43" s="6" t="inlineStr">
        <is>
          <t>Costa de Marfil</t>
        </is>
      </c>
      <c r="H43">
        <f>IF(AND(ISNUMBER(D43),ISNUMBER(F43)),"Ok","")</f>
        <v/>
      </c>
      <c r="J43" t="inlineStr">
        <is>
          <t>G</t>
        </is>
      </c>
      <c r="K43" t="inlineStr">
        <is>
          <t>Egipto</t>
        </is>
      </c>
      <c r="L43" s="16">
        <f>IF(ISNUMBER(F54),1,0)+IF(ISNUMBER(D57),1,0)+IF(ISNUMBER(D59),1,0)</f>
        <v/>
      </c>
      <c r="M43" s="16">
        <f>IF(AND(ISNUMBER(F54),ISNUMBER(D54),F54&gt;D54),1,0)+IF(AND(ISNUMBER(D57),ISNUMBER(F57),D57&gt;F57),1,0)+IF(AND(ISNUMBER(D59),ISNUMBER(F59),D59&gt;F59),1,0)</f>
        <v/>
      </c>
      <c r="N43" s="16">
        <f>IF(AND(ISNUMBER(F54),ISNUMBER(D54),F54=D54),1,0)+IF(AND(ISNUMBER(D57),ISNUMBER(F57),D57=F57),1,0)+IF(AND(ISNUMBER(D59),ISNUMBER(F59),D59=F59),1,0)</f>
        <v/>
      </c>
      <c r="O43" s="16">
        <f>IF(AND(ISNUMBER(F54),ISNUMBER(D54),F54&lt;D54),1,0)+IF(AND(ISNUMBER(D57),ISNUMBER(F57),D57&lt;F57),1,0)+IF(AND(ISNUMBER(D59),ISNUMBER(F59),D59&lt;F59),1,0)</f>
        <v/>
      </c>
      <c r="P43" s="16">
        <f>IF(ISNUMBER(F54),F54,0)+IF(ISNUMBER(D57),D57,0)+IF(ISNUMBER(D59),D59,0)</f>
        <v/>
      </c>
      <c r="Q43" s="16">
        <f>IF(ISNUMBER(D54),D54,0)+IF(ISNUMBER(F57),F57,0)+IF(ISNUMBER(F59),F59,0)</f>
        <v/>
      </c>
      <c r="R43" s="16">
        <f>P43-Q43</f>
        <v/>
      </c>
      <c r="S43" s="16">
        <f>M43*3+N43</f>
        <v/>
      </c>
      <c r="T43">
        <f>S43*100000000 + (R43+100)*100000 + P43*1000 + IFERROR(VLOOKUP(K43, RankingFIFA!$A$1:$B$48, 2, FALSE), 0)</f>
        <v/>
      </c>
    </row>
    <row r="44">
      <c r="J44" t="inlineStr">
        <is>
          <t>G</t>
        </is>
      </c>
      <c r="K44" t="inlineStr">
        <is>
          <t>Irán</t>
        </is>
      </c>
      <c r="L44" s="16">
        <f>IF(ISNUMBER(D55),1,0)+IF(ISNUMBER(F56),1,0)+IF(ISNUMBER(F59),1,0)</f>
        <v/>
      </c>
      <c r="M44" s="16">
        <f>IF(AND(ISNUMBER(D55),ISNUMBER(F55),D55&gt;F55),1,0)+IF(AND(ISNUMBER(F56),ISNUMBER(D56),F56&gt;D56),1,0)+IF(AND(ISNUMBER(F59),ISNUMBER(D59),F59&gt;D59),1,0)</f>
        <v/>
      </c>
      <c r="N44" s="16">
        <f>IF(AND(ISNUMBER(D55),ISNUMBER(F55),D55=F55),1,0)+IF(AND(ISNUMBER(F56),ISNUMBER(D56),F56=D56),1,0)+IF(AND(ISNUMBER(F59),ISNUMBER(D59),F59=D59),1,0)</f>
        <v/>
      </c>
      <c r="O44" s="16">
        <f>IF(AND(ISNUMBER(D55),ISNUMBER(F55),D55&lt;F55),1,0)+IF(AND(ISNUMBER(F56),ISNUMBER(D56),F56&lt;D56),1,0)+IF(AND(ISNUMBER(F59),ISNUMBER(D59),F59&lt;D59),1,0)</f>
        <v/>
      </c>
      <c r="P44" s="16">
        <f>IF(ISNUMBER(D55),D55,0)+IF(ISNUMBER(F56),F56,0)+IF(ISNUMBER(F59),F59,0)</f>
        <v/>
      </c>
      <c r="Q44" s="16">
        <f>IF(ISNUMBER(F55),F55,0)+IF(ISNUMBER(D56),D56,0)+IF(ISNUMBER(D59),D59,0)</f>
        <v/>
      </c>
      <c r="R44" s="16">
        <f>P44-Q44</f>
        <v/>
      </c>
      <c r="S44" s="16">
        <f>M44*3+N44</f>
        <v/>
      </c>
      <c r="T44">
        <f>S44*100000000 + (R44+100)*100000 + P44*1000 + IFERROR(VLOOKUP(K44, RankingFIFA!$A$1:$B$48, 2, FALSE), 0)</f>
        <v/>
      </c>
    </row>
    <row r="45" ht="18.75" customHeight="1" s="10">
      <c r="A45" s="20" t="inlineStr">
        <is>
          <t>GRUPO F</t>
        </is>
      </c>
      <c r="J45" t="inlineStr">
        <is>
          <t>G</t>
        </is>
      </c>
      <c r="K45" t="inlineStr">
        <is>
          <t>Nueva Zelanda</t>
        </is>
      </c>
      <c r="L45" s="16">
        <f>IF(ISNUMBER(F55),1,0)+IF(ISNUMBER(F57),1,0)+IF(ISNUMBER(D58),1,0)</f>
        <v/>
      </c>
      <c r="M45" s="16">
        <f>IF(AND(ISNUMBER(F55),ISNUMBER(D55),F55&gt;D55),1,0)+IF(AND(ISNUMBER(F57),ISNUMBER(D57),F57&gt;D57),1,0)+IF(AND(ISNUMBER(D58),ISNUMBER(F58),D58&gt;F58),1,0)</f>
        <v/>
      </c>
      <c r="N45" s="16">
        <f>IF(AND(ISNUMBER(F55),ISNUMBER(D55),F55=D55),1,0)+IF(AND(ISNUMBER(F57),ISNUMBER(D57),F57=D57),1,0)+IF(AND(ISNUMBER(D58),ISNUMBER(F58),D58=F58),1,0)</f>
        <v/>
      </c>
      <c r="O45" s="16">
        <f>IF(AND(ISNUMBER(F55),ISNUMBER(D55),F55&lt;D55),1,0)+IF(AND(ISNUMBER(F57),ISNUMBER(D57),F57&lt;D57),1,0)+IF(AND(ISNUMBER(D58),ISNUMBER(F58),D58&lt;F58),1,0)</f>
        <v/>
      </c>
      <c r="P45" s="16">
        <f>IF(ISNUMBER(F55),F55,0)+IF(ISNUMBER(F57),F57,0)+IF(ISNUMBER(D58),D58,0)</f>
        <v/>
      </c>
      <c r="Q45" s="16">
        <f>IF(ISNUMBER(D55),D55,0)+IF(ISNUMBER(D57),D57,0)+IF(ISNUMBER(F58),F58,0)</f>
        <v/>
      </c>
      <c r="R45" s="16">
        <f>P45-Q45</f>
        <v/>
      </c>
      <c r="S45" s="16">
        <f>M45*3+N45</f>
        <v/>
      </c>
      <c r="T45">
        <f>S45*100000000 + (R45+100)*100000 + P45*1000 + IFERROR(VLOOKUP(K45, RankingFIFA!$A$1:$B$48, 2, FALSE), 0)</f>
        <v/>
      </c>
    </row>
    <row r="46">
      <c r="C46" s="4" t="inlineStr">
        <is>
          <t>Países Bajos</t>
        </is>
      </c>
      <c r="D46" s="15" t="n">
        <v>3</v>
      </c>
      <c r="E46" s="5" t="inlineStr">
        <is>
          <t>-</t>
        </is>
      </c>
      <c r="F46" s="15" t="n">
        <v>1</v>
      </c>
      <c r="G46" s="6" t="inlineStr">
        <is>
          <t>Japón</t>
        </is>
      </c>
      <c r="H46">
        <f>IF(AND(ISNUMBER(D46),ISNUMBER(F46)),"Ok","")</f>
        <v/>
      </c>
    </row>
    <row r="47" ht="18.75" customHeight="1" s="10">
      <c r="C47" s="4" t="inlineStr">
        <is>
          <t>Suecia</t>
        </is>
      </c>
      <c r="D47" s="15" t="n">
        <v>4</v>
      </c>
      <c r="E47" s="5" t="inlineStr">
        <is>
          <t>-</t>
        </is>
      </c>
      <c r="F47" s="15" t="n">
        <v>0</v>
      </c>
      <c r="G47" s="6" t="inlineStr">
        <is>
          <t>Túnez</t>
        </is>
      </c>
      <c r="H47">
        <f>IF(AND(ISNUMBER(D47),ISNUMBER(F47)),"Ok","")</f>
        <v/>
      </c>
      <c r="J47" s="20" t="inlineStr">
        <is>
          <t>CLASIFICACIÓN GRUPO H</t>
        </is>
      </c>
    </row>
    <row r="48">
      <c r="C48" s="4" t="inlineStr">
        <is>
          <t>Países Bajos</t>
        </is>
      </c>
      <c r="D48" s="15" t="n">
        <v>3</v>
      </c>
      <c r="E48" s="5" t="inlineStr">
        <is>
          <t>-</t>
        </is>
      </c>
      <c r="F48" s="15" t="n">
        <v>1</v>
      </c>
      <c r="G48" s="6" t="inlineStr">
        <is>
          <t>Suecia</t>
        </is>
      </c>
      <c r="H48">
        <f>IF(AND(ISNUMBER(D48),ISNUMBER(F48)),"Ok","")</f>
        <v/>
      </c>
      <c r="J48" t="inlineStr">
        <is>
          <t>H</t>
        </is>
      </c>
      <c r="K48" t="inlineStr">
        <is>
          <t>España</t>
        </is>
      </c>
      <c r="L48" s="16">
        <f>IF(ISNUMBER(D62),1,0)+IF(ISNUMBER(D64),1,0)+IF(ISNUMBER(F66),1,0)</f>
        <v/>
      </c>
      <c r="M48" s="16">
        <f>IF(AND(ISNUMBER(D62),ISNUMBER(F62),D62&gt;F62),1,0)+IF(AND(ISNUMBER(D64),ISNUMBER(F64),D64&gt;F64),1,0)+IF(AND(ISNUMBER(F66),ISNUMBER(D66),F66&gt;D66),1,0)</f>
        <v/>
      </c>
      <c r="N48" s="16">
        <f>IF(AND(ISNUMBER(D62),ISNUMBER(F62),D62=F62),1,0)+IF(AND(ISNUMBER(D64),ISNUMBER(F64),D64=F64),1,0)+IF(AND(ISNUMBER(F66),ISNUMBER(D66),F66=D66),1,0)</f>
        <v/>
      </c>
      <c r="O48" s="16">
        <f>IF(AND(ISNUMBER(D62),ISNUMBER(F62),D62&lt;F62),1,0)+IF(AND(ISNUMBER(D64),ISNUMBER(F64),D64&lt;F64),1,0)+IF(AND(ISNUMBER(F66),ISNUMBER(D66),F66&lt;D66),1,0)</f>
        <v/>
      </c>
      <c r="P48" s="16">
        <f>IF(ISNUMBER(D62),D62,0)+IF(ISNUMBER(D64),D64,0)+IF(ISNUMBER(F66),F66,0)</f>
        <v/>
      </c>
      <c r="Q48" s="16">
        <f>IF(ISNUMBER(F62),F62,0)+IF(ISNUMBER(F64),F64,0)+IF(ISNUMBER(D66),D66,0)</f>
        <v/>
      </c>
      <c r="R48" s="16">
        <f>P48-Q48</f>
        <v/>
      </c>
      <c r="S48" s="16">
        <f>M48*3+N48</f>
        <v/>
      </c>
      <c r="T48">
        <f>S48*100000000 + (R48+100)*100000 + P48*1000 + IFERROR(VLOOKUP(K48, RankingFIFA!$A$1:$B$48, 2, FALSE), 0)</f>
        <v/>
      </c>
    </row>
    <row r="49">
      <c r="C49" s="4" t="inlineStr">
        <is>
          <t>Japón</t>
        </is>
      </c>
      <c r="D49" s="15" t="n">
        <v>2</v>
      </c>
      <c r="E49" s="5" t="inlineStr">
        <is>
          <t>-</t>
        </is>
      </c>
      <c r="F49" s="15" t="n">
        <v>3</v>
      </c>
      <c r="G49" s="6" t="inlineStr">
        <is>
          <t>Túnez</t>
        </is>
      </c>
      <c r="H49">
        <f>IF(AND(ISNUMBER(D49),ISNUMBER(F49)),"Ok","")</f>
        <v/>
      </c>
      <c r="J49" t="inlineStr">
        <is>
          <t>H</t>
        </is>
      </c>
      <c r="K49" t="inlineStr">
        <is>
          <t>Cabo Verde</t>
        </is>
      </c>
      <c r="L49" s="16">
        <f>IF(ISNUMBER(F62),1,0)+IF(ISNUMBER(D65),1,0)+IF(ISNUMBER(D67),1,0)</f>
        <v/>
      </c>
      <c r="M49" s="16">
        <f>IF(AND(ISNUMBER(F62),ISNUMBER(D62),F62&gt;D62),1,0)+IF(AND(ISNUMBER(D65),ISNUMBER(F65),D65&gt;F65),1,0)+IF(AND(ISNUMBER(D67),ISNUMBER(F67),D67&gt;F67),1,0)</f>
        <v/>
      </c>
      <c r="N49" s="16">
        <f>IF(AND(ISNUMBER(F62),ISNUMBER(D62),F62=D62),1,0)+IF(AND(ISNUMBER(D65),ISNUMBER(F65),D65=F65),1,0)+IF(AND(ISNUMBER(D67),ISNUMBER(F67),D67=F67),1,0)</f>
        <v/>
      </c>
      <c r="O49" s="16">
        <f>IF(AND(ISNUMBER(F62),ISNUMBER(D62),F62&lt;D62),1,0)+IF(AND(ISNUMBER(D65),ISNUMBER(F65),D65&lt;F65),1,0)+IF(AND(ISNUMBER(D67),ISNUMBER(F67),D67&lt;F67),1,0)</f>
        <v/>
      </c>
      <c r="P49" s="16">
        <f>IF(ISNUMBER(F62),F62,0)+IF(ISNUMBER(D65),D65,0)+IF(ISNUMBER(D67),D67,0)</f>
        <v/>
      </c>
      <c r="Q49" s="16">
        <f>IF(ISNUMBER(D62),D62,0)+IF(ISNUMBER(F65),F65,0)+IF(ISNUMBER(F67),F67,0)</f>
        <v/>
      </c>
      <c r="R49" s="16">
        <f>P49-Q49</f>
        <v/>
      </c>
      <c r="S49" s="16">
        <f>M49*3+N49</f>
        <v/>
      </c>
      <c r="T49">
        <f>S49*100000000 + (R49+100)*100000 + P49*1000 + IFERROR(VLOOKUP(K49, RankingFIFA!$A$1:$B$48, 2, FALSE), 0)</f>
        <v/>
      </c>
    </row>
    <row r="50">
      <c r="C50" s="4" t="inlineStr">
        <is>
          <t>Túnez</t>
        </is>
      </c>
      <c r="D50" s="15" t="n">
        <v>0</v>
      </c>
      <c r="E50" s="5" t="inlineStr">
        <is>
          <t>-</t>
        </is>
      </c>
      <c r="F50" s="15" t="n">
        <v>3</v>
      </c>
      <c r="G50" s="6" t="inlineStr">
        <is>
          <t>Países Bajos</t>
        </is>
      </c>
      <c r="H50">
        <f>IF(AND(ISNUMBER(D50),ISNUMBER(F50)),"Ok","")</f>
        <v/>
      </c>
      <c r="J50" t="inlineStr">
        <is>
          <t>H</t>
        </is>
      </c>
      <c r="K50" t="inlineStr">
        <is>
          <t>Arabia Saud.</t>
        </is>
      </c>
      <c r="L50" s="16">
        <f>IF(ISNUMBER(D63),1,0)+IF(ISNUMBER(F64),1,0)+IF(ISNUMBER(F67),1,0)</f>
        <v/>
      </c>
      <c r="M50" s="16">
        <f>IF(AND(ISNUMBER(D63),ISNUMBER(F63),D63&gt;F63),1,0)+IF(AND(ISNUMBER(F64),ISNUMBER(D64),F64&gt;D64),1,0)+IF(AND(ISNUMBER(F67),ISNUMBER(D67),F67&gt;D67),1,0)</f>
        <v/>
      </c>
      <c r="N50" s="16">
        <f>IF(AND(ISNUMBER(D63),ISNUMBER(F63),D63=F63),1,0)+IF(AND(ISNUMBER(F64),ISNUMBER(D64),F64=D64),1,0)+IF(AND(ISNUMBER(F67),ISNUMBER(D67),F67=D67),1,0)</f>
        <v/>
      </c>
      <c r="O50" s="16">
        <f>IF(AND(ISNUMBER(D63),ISNUMBER(F63),D63&lt;F63),1,0)+IF(AND(ISNUMBER(F64),ISNUMBER(D64),F64&lt;D64),1,0)+IF(AND(ISNUMBER(F67),ISNUMBER(D67),F67&lt;D67),1,0)</f>
        <v/>
      </c>
      <c r="P50" s="16">
        <f>IF(ISNUMBER(D63),D63,0)+IF(ISNUMBER(F64),F64,0)+IF(ISNUMBER(F67),F67,0)</f>
        <v/>
      </c>
      <c r="Q50" s="16">
        <f>IF(ISNUMBER(F63),F63,0)+IF(ISNUMBER(D64),D64,0)+IF(ISNUMBER(D67),D67,0)</f>
        <v/>
      </c>
      <c r="R50" s="16">
        <f>P50-Q50</f>
        <v/>
      </c>
      <c r="S50" s="16">
        <f>M50*3+N50</f>
        <v/>
      </c>
      <c r="T50">
        <f>S50*100000000 + (R50+100)*100000 + P50*1000 + IFERROR(VLOOKUP(K50, RankingFIFA!$A$1:$B$48, 2, FALSE), 0)</f>
        <v/>
      </c>
    </row>
    <row r="51">
      <c r="C51" s="4" t="inlineStr">
        <is>
          <t>Japón</t>
        </is>
      </c>
      <c r="D51" s="15" t="n">
        <v>1</v>
      </c>
      <c r="E51" s="5" t="inlineStr">
        <is>
          <t>-</t>
        </is>
      </c>
      <c r="F51" s="15" t="n">
        <v>3</v>
      </c>
      <c r="G51" s="6" t="inlineStr">
        <is>
          <t>Suecia</t>
        </is>
      </c>
      <c r="H51">
        <f>IF(AND(ISNUMBER(D51),ISNUMBER(F51)),"Ok","")</f>
        <v/>
      </c>
      <c r="J51" t="inlineStr">
        <is>
          <t>H</t>
        </is>
      </c>
      <c r="K51" t="inlineStr">
        <is>
          <t>Uruguay</t>
        </is>
      </c>
      <c r="L51" s="16">
        <f>IF(ISNUMBER(F63),1,0)+IF(ISNUMBER(F65),1,0)+IF(ISNUMBER(D66),1,0)</f>
        <v/>
      </c>
      <c r="M51" s="16">
        <f>IF(AND(ISNUMBER(F63),ISNUMBER(D63),F63&gt;D63),1,0)+IF(AND(ISNUMBER(F65),ISNUMBER(D65),F65&gt;D65),1,0)+IF(AND(ISNUMBER(D66),ISNUMBER(F66),D66&gt;F66),1,0)</f>
        <v/>
      </c>
      <c r="N51" s="16">
        <f>IF(AND(ISNUMBER(F63),ISNUMBER(D63),F63=D63),1,0)+IF(AND(ISNUMBER(F65),ISNUMBER(D65),F65=D65),1,0)+IF(AND(ISNUMBER(D66),ISNUMBER(F66),D66=F66),1,0)</f>
        <v/>
      </c>
      <c r="O51" s="16">
        <f>IF(AND(ISNUMBER(F63),ISNUMBER(D63),F63&lt;D63),1,0)+IF(AND(ISNUMBER(F65),ISNUMBER(D65),F65&lt;D65),1,0)+IF(AND(ISNUMBER(D66),ISNUMBER(F66),D66&lt;F66),1,0)</f>
        <v/>
      </c>
      <c r="P51" s="16">
        <f>IF(ISNUMBER(F63),F63,0)+IF(ISNUMBER(F65),F65,0)+IF(ISNUMBER(D66),D66,0)</f>
        <v/>
      </c>
      <c r="Q51" s="16">
        <f>IF(ISNUMBER(D63),D63,0)+IF(ISNUMBER(D65),D65,0)+IF(ISNUMBER(F66),F66,0)</f>
        <v/>
      </c>
      <c r="R51" s="16">
        <f>P51-Q51</f>
        <v/>
      </c>
      <c r="S51" s="16">
        <f>M51*3+N51</f>
        <v/>
      </c>
      <c r="T51">
        <f>S51*100000000 + (R51+100)*100000 + P51*1000 + IFERROR(VLOOKUP(K51, RankingFIFA!$A$1:$B$48, 2, FALSE), 0)</f>
        <v/>
      </c>
    </row>
    <row r="53" ht="18.75" customHeight="1" s="10">
      <c r="A53" s="20" t="inlineStr">
        <is>
          <t>GRUPO G</t>
        </is>
      </c>
      <c r="J53" s="20" t="inlineStr">
        <is>
          <t>CLASIFICACIÓN GRUPO I</t>
        </is>
      </c>
    </row>
    <row r="54">
      <c r="C54" s="4" t="inlineStr">
        <is>
          <t>Bélgica</t>
        </is>
      </c>
      <c r="D54" s="15" t="n">
        <v>4</v>
      </c>
      <c r="E54" s="5" t="inlineStr">
        <is>
          <t>-</t>
        </is>
      </c>
      <c r="F54" s="15" t="n">
        <v>1</v>
      </c>
      <c r="G54" s="6" t="inlineStr">
        <is>
          <t>Egipto</t>
        </is>
      </c>
      <c r="H54">
        <f>IF(AND(ISNUMBER(D54),ISNUMBER(F54)),"Ok","")</f>
        <v/>
      </c>
      <c r="J54" t="inlineStr">
        <is>
          <t>I</t>
        </is>
      </c>
      <c r="K54" t="inlineStr">
        <is>
          <t>Francia</t>
        </is>
      </c>
      <c r="L54" s="16">
        <f>IF(ISNUMBER(D70),1,0)+IF(ISNUMBER(D72),1,0)+IF(ISNUMBER(F74),1,0)</f>
        <v/>
      </c>
      <c r="M54" s="16">
        <f>IF(AND(ISNUMBER(D70),ISNUMBER(F70),D70&gt;F70),1,0)+IF(AND(ISNUMBER(D72),ISNUMBER(F72),D72&gt;F72),1,0)+IF(AND(ISNUMBER(F74),ISNUMBER(D74),F74&gt;D74),1,0)</f>
        <v/>
      </c>
      <c r="N54" s="16">
        <f>IF(AND(ISNUMBER(D70),ISNUMBER(F70),D70=F70),1,0)+IF(AND(ISNUMBER(D72),ISNUMBER(F72),D72=F72),1,0)+IF(AND(ISNUMBER(F74),ISNUMBER(D74),F74=D74),1,0)</f>
        <v/>
      </c>
      <c r="O54" s="16">
        <f>IF(AND(ISNUMBER(D70),ISNUMBER(F70),D70&lt;F70),1,0)+IF(AND(ISNUMBER(D72),ISNUMBER(F72),D72&lt;F72),1,0)+IF(AND(ISNUMBER(F74),ISNUMBER(D74),F74&lt;D74),1,0)</f>
        <v/>
      </c>
      <c r="P54" s="16">
        <f>IF(ISNUMBER(D70),D70,0)+IF(ISNUMBER(D72),D72,0)+IF(ISNUMBER(F74),F74,0)</f>
        <v/>
      </c>
      <c r="Q54" s="16">
        <f>IF(ISNUMBER(F70),F70,0)+IF(ISNUMBER(F72),F72,0)+IF(ISNUMBER(D74),D74,0)</f>
        <v/>
      </c>
      <c r="R54" s="16">
        <f>P54-Q54</f>
        <v/>
      </c>
      <c r="S54" s="16">
        <f>M54*3+N54</f>
        <v/>
      </c>
      <c r="T54">
        <f>S54*100000000 + (R54+100)*100000 + P54*1000 + IFERROR(VLOOKUP(K54, RankingFIFA!$A$1:$B$48, 2, FALSE), 0)</f>
        <v/>
      </c>
    </row>
    <row r="55">
      <c r="C55" s="4" t="inlineStr">
        <is>
          <t>Irán</t>
        </is>
      </c>
      <c r="D55" s="15" t="n">
        <v>1</v>
      </c>
      <c r="E55" s="5" t="inlineStr">
        <is>
          <t>-</t>
        </is>
      </c>
      <c r="F55" s="15" t="n">
        <v>1</v>
      </c>
      <c r="G55" s="6" t="inlineStr">
        <is>
          <t>Nueva Zelanda</t>
        </is>
      </c>
      <c r="H55">
        <f>IF(AND(ISNUMBER(D55),ISNUMBER(F55)),"Ok","")</f>
        <v/>
      </c>
      <c r="J55" t="inlineStr">
        <is>
          <t>I</t>
        </is>
      </c>
      <c r="K55" t="inlineStr">
        <is>
          <t>Senegal</t>
        </is>
      </c>
      <c r="L55" s="16">
        <f>IF(ISNUMBER(F70),1,0)+IF(ISNUMBER(D73),1,0)+IF(ISNUMBER(D75),1,0)</f>
        <v/>
      </c>
      <c r="M55" s="16">
        <f>IF(AND(ISNUMBER(F70),ISNUMBER(D70),F70&gt;D70),1,0)+IF(AND(ISNUMBER(D73),ISNUMBER(F73),D73&gt;F73),1,0)+IF(AND(ISNUMBER(D75),ISNUMBER(F75),D75&gt;F75),1,0)</f>
        <v/>
      </c>
      <c r="N55" s="16">
        <f>IF(AND(ISNUMBER(F70),ISNUMBER(D70),F70=D70),1,0)+IF(AND(ISNUMBER(D73),ISNUMBER(F73),D73=F73),1,0)+IF(AND(ISNUMBER(D75),ISNUMBER(F75),D75=F75),1,0)</f>
        <v/>
      </c>
      <c r="O55" s="16">
        <f>IF(AND(ISNUMBER(F70),ISNUMBER(D70),F70&lt;D70),1,0)+IF(AND(ISNUMBER(D73),ISNUMBER(F73),D73&lt;F73),1,0)+IF(AND(ISNUMBER(D75),ISNUMBER(F75),D75&lt;F75),1,0)</f>
        <v/>
      </c>
      <c r="P55" s="16">
        <f>IF(ISNUMBER(F70),F70,0)+IF(ISNUMBER(D73),D73,0)+IF(ISNUMBER(D75),D75,0)</f>
        <v/>
      </c>
      <c r="Q55" s="16">
        <f>IF(ISNUMBER(D70),D70,0)+IF(ISNUMBER(F73),F73,0)+IF(ISNUMBER(F75),F75,0)</f>
        <v/>
      </c>
      <c r="R55" s="16">
        <f>P55-Q55</f>
        <v/>
      </c>
      <c r="S55" s="16">
        <f>M55*3+N55</f>
        <v/>
      </c>
      <c r="T55">
        <f>S55*100000000 + (R55+100)*100000 + P55*1000 + IFERROR(VLOOKUP(K55, RankingFIFA!$A$1:$B$48, 2, FALSE), 0)</f>
        <v/>
      </c>
    </row>
    <row r="56">
      <c r="C56" s="4" t="inlineStr">
        <is>
          <t>Bélgica</t>
        </is>
      </c>
      <c r="D56" s="15" t="n">
        <v>3</v>
      </c>
      <c r="E56" s="5" t="inlineStr">
        <is>
          <t>-</t>
        </is>
      </c>
      <c r="F56" s="15" t="n">
        <v>0</v>
      </c>
      <c r="G56" s="6" t="inlineStr">
        <is>
          <t>Irán</t>
        </is>
      </c>
      <c r="H56">
        <f>IF(AND(ISNUMBER(D56),ISNUMBER(F56)),"Ok","")</f>
        <v/>
      </c>
      <c r="J56" t="inlineStr">
        <is>
          <t>I</t>
        </is>
      </c>
      <c r="K56" t="inlineStr">
        <is>
          <t>Irak</t>
        </is>
      </c>
      <c r="L56" s="16">
        <f>IF(ISNUMBER(D71),1,0)+IF(ISNUMBER(F72),1,0)+IF(ISNUMBER(F75),1,0)</f>
        <v/>
      </c>
      <c r="M56" s="16">
        <f>IF(AND(ISNUMBER(D71),ISNUMBER(F71),D71&gt;F71),1,0)+IF(AND(ISNUMBER(F72),ISNUMBER(D72),F72&gt;D72),1,0)+IF(AND(ISNUMBER(F75),ISNUMBER(D75),F75&gt;D75),1,0)</f>
        <v/>
      </c>
      <c r="N56" s="16">
        <f>IF(AND(ISNUMBER(D71),ISNUMBER(F71),D71=F71),1,0)+IF(AND(ISNUMBER(F72),ISNUMBER(D72),F72=D72),1,0)+IF(AND(ISNUMBER(F75),ISNUMBER(D75),F75=D75),1,0)</f>
        <v/>
      </c>
      <c r="O56" s="16">
        <f>IF(AND(ISNUMBER(D71),ISNUMBER(F71),D71&lt;F71),1,0)+IF(AND(ISNUMBER(F72),ISNUMBER(D72),F72&lt;D72),1,0)+IF(AND(ISNUMBER(F75),ISNUMBER(D75),F75&lt;D75),1,0)</f>
        <v/>
      </c>
      <c r="P56" s="16">
        <f>IF(ISNUMBER(D71),D71,0)+IF(ISNUMBER(F72),F72,0)+IF(ISNUMBER(F75),F75,0)</f>
        <v/>
      </c>
      <c r="Q56" s="16">
        <f>IF(ISNUMBER(F71),F71,0)+IF(ISNUMBER(D72),D72,0)+IF(ISNUMBER(D75),D75,0)</f>
        <v/>
      </c>
      <c r="R56" s="16">
        <f>P56-Q56</f>
        <v/>
      </c>
      <c r="S56" s="16">
        <f>M56*3+N56</f>
        <v/>
      </c>
      <c r="T56">
        <f>S56*100000000 + (R56+100)*100000 + P56*1000 + IFERROR(VLOOKUP(K56, RankingFIFA!$A$1:$B$48, 2, FALSE), 0)</f>
        <v/>
      </c>
    </row>
    <row r="57">
      <c r="C57" s="4" t="inlineStr">
        <is>
          <t>Egipto</t>
        </is>
      </c>
      <c r="D57" s="15" t="n">
        <v>2</v>
      </c>
      <c r="E57" s="5" t="inlineStr">
        <is>
          <t>-</t>
        </is>
      </c>
      <c r="F57" s="15" t="n">
        <v>0</v>
      </c>
      <c r="G57" s="6" t="inlineStr">
        <is>
          <t>Nueva Zelanda</t>
        </is>
      </c>
      <c r="H57">
        <f>IF(AND(ISNUMBER(D57),ISNUMBER(F57)),"Ok","")</f>
        <v/>
      </c>
      <c r="J57" t="inlineStr">
        <is>
          <t>I</t>
        </is>
      </c>
      <c r="K57" t="inlineStr">
        <is>
          <t>Noruega</t>
        </is>
      </c>
      <c r="L57" s="16">
        <f>IF(ISNUMBER(F71),1,0)+IF(ISNUMBER(F73),1,0)+IF(ISNUMBER(D74),1,0)</f>
        <v/>
      </c>
      <c r="M57" s="16">
        <f>IF(AND(ISNUMBER(F71),ISNUMBER(D71),F71&gt;D71),1,0)+IF(AND(ISNUMBER(F73),ISNUMBER(D73),F73&gt;D73),1,0)+IF(AND(ISNUMBER(D74),ISNUMBER(F74),D74&gt;F74),1,0)</f>
        <v/>
      </c>
      <c r="N57" s="16">
        <f>IF(AND(ISNUMBER(F71),ISNUMBER(D71),F71=D71),1,0)+IF(AND(ISNUMBER(F73),ISNUMBER(D73),F73=D73),1,0)+IF(AND(ISNUMBER(D74),ISNUMBER(F74),D74=F74),1,0)</f>
        <v/>
      </c>
      <c r="O57" s="16">
        <f>IF(AND(ISNUMBER(F71),ISNUMBER(D71),F71&lt;D71),1,0)+IF(AND(ISNUMBER(F73),ISNUMBER(D73),F73&lt;D73),1,0)+IF(AND(ISNUMBER(D74),ISNUMBER(F74),D74&lt;F74),1,0)</f>
        <v/>
      </c>
      <c r="P57" s="16">
        <f>IF(ISNUMBER(F71),F71,0)+IF(ISNUMBER(F73),F73,0)+IF(ISNUMBER(D74),D74,0)</f>
        <v/>
      </c>
      <c r="Q57" s="16">
        <f>IF(ISNUMBER(D71),D71,0)+IF(ISNUMBER(D73),D73,0)+IF(ISNUMBER(F74),F74,0)</f>
        <v/>
      </c>
      <c r="R57" s="16">
        <f>P57-Q57</f>
        <v/>
      </c>
      <c r="S57" s="16">
        <f>M57*3+N57</f>
        <v/>
      </c>
      <c r="T57">
        <f>S57*100000000 + (R57+100)*100000 + P57*1000 + IFERROR(VLOOKUP(K57, RankingFIFA!$A$1:$B$48, 2, FALSE), 0)</f>
        <v/>
      </c>
    </row>
    <row r="58">
      <c r="C58" s="4" t="inlineStr">
        <is>
          <t>Nueva Zelanda</t>
        </is>
      </c>
      <c r="D58" s="15" t="n">
        <v>1</v>
      </c>
      <c r="E58" s="5" t="inlineStr">
        <is>
          <t>-</t>
        </is>
      </c>
      <c r="F58" s="15" t="n">
        <v>3</v>
      </c>
      <c r="G58" s="6" t="inlineStr">
        <is>
          <t>Bélgica</t>
        </is>
      </c>
      <c r="H58">
        <f>IF(AND(ISNUMBER(D58),ISNUMBER(F58)),"Ok","")</f>
        <v/>
      </c>
    </row>
    <row r="59" ht="18.75" customHeight="1" s="10">
      <c r="C59" s="4" t="inlineStr">
        <is>
          <t>Egipto</t>
        </is>
      </c>
      <c r="D59" s="15" t="n">
        <v>1</v>
      </c>
      <c r="E59" s="5" t="inlineStr">
        <is>
          <t>-</t>
        </is>
      </c>
      <c r="F59" s="15" t="n">
        <v>1</v>
      </c>
      <c r="G59" s="6" t="inlineStr">
        <is>
          <t>Irán</t>
        </is>
      </c>
      <c r="H59">
        <f>IF(AND(ISNUMBER(D59),ISNUMBER(F59)),"Ok","")</f>
        <v/>
      </c>
      <c r="J59" s="20" t="inlineStr">
        <is>
          <t>CLASIFICACIÓN GRUPO J</t>
        </is>
      </c>
    </row>
    <row r="60">
      <c r="J60" t="inlineStr">
        <is>
          <t>J</t>
        </is>
      </c>
      <c r="K60" t="inlineStr">
        <is>
          <t>Argentina</t>
        </is>
      </c>
      <c r="L60" s="16">
        <f>IF(ISNUMBER(D78),1,0)+IF(ISNUMBER(D80),1,0)+IF(ISNUMBER(F82),1,0)</f>
        <v/>
      </c>
      <c r="M60" s="16">
        <f>IF(AND(ISNUMBER(D78),ISNUMBER(F78),D78&gt;F78),1,0)+IF(AND(ISNUMBER(D80),ISNUMBER(F80),D80&gt;F80),1,0)+IF(AND(ISNUMBER(F82),ISNUMBER(D82),F82&gt;D82),1,0)</f>
        <v/>
      </c>
      <c r="N60" s="16">
        <f>IF(AND(ISNUMBER(D78),ISNUMBER(F78),D78=F78),1,0)+IF(AND(ISNUMBER(D80),ISNUMBER(F80),D80=F80),1,0)+IF(AND(ISNUMBER(F82),ISNUMBER(D82),F82=D82),1,0)</f>
        <v/>
      </c>
      <c r="O60" s="16">
        <f>IF(AND(ISNUMBER(D78),ISNUMBER(F78),D78&lt;F78),1,0)+IF(AND(ISNUMBER(D80),ISNUMBER(F80),D80&lt;F80),1,0)+IF(AND(ISNUMBER(F82),ISNUMBER(D82),F82&lt;D82),1,0)</f>
        <v/>
      </c>
      <c r="P60" s="16">
        <f>IF(ISNUMBER(D78),D78,0)+IF(ISNUMBER(D80),D80,0)+IF(ISNUMBER(F82),F82,0)</f>
        <v/>
      </c>
      <c r="Q60" s="16">
        <f>IF(ISNUMBER(F78),F78,0)+IF(ISNUMBER(F80),F80,0)+IF(ISNUMBER(D82),D82,0)</f>
        <v/>
      </c>
      <c r="R60" s="16">
        <f>P60-Q60</f>
        <v/>
      </c>
      <c r="S60" s="16">
        <f>M60*3+N60</f>
        <v/>
      </c>
      <c r="T60">
        <f>S60*100000000 + (R60+100)*100000 + P60*1000 + IFERROR(VLOOKUP(K60, RankingFIFA!$A$1:$B$48, 2, FALSE), 0)</f>
        <v/>
      </c>
    </row>
    <row r="61" ht="18.75" customHeight="1" s="10">
      <c r="A61" s="20" t="inlineStr">
        <is>
          <t>GRUPO H</t>
        </is>
      </c>
      <c r="J61" t="inlineStr">
        <is>
          <t>J</t>
        </is>
      </c>
      <c r="K61" t="inlineStr">
        <is>
          <t>Argelia</t>
        </is>
      </c>
      <c r="L61" s="16">
        <f>IF(ISNUMBER(F78),1,0)+IF(ISNUMBER(D81),1,0)+IF(ISNUMBER(D83),1,0)</f>
        <v/>
      </c>
      <c r="M61" s="16">
        <f>IF(AND(ISNUMBER(F78),ISNUMBER(D78),F78&gt;D78),1,0)+IF(AND(ISNUMBER(D81),ISNUMBER(F81),D81&gt;F81),1,0)+IF(AND(ISNUMBER(D83),ISNUMBER(F83),D83&gt;F83),1,0)</f>
        <v/>
      </c>
      <c r="N61" s="16">
        <f>IF(AND(ISNUMBER(F78),ISNUMBER(D78),F78=D78),1,0)+IF(AND(ISNUMBER(D81),ISNUMBER(F81),D81=F81),1,0)+IF(AND(ISNUMBER(D83),ISNUMBER(F83),D83=F83),1,0)</f>
        <v/>
      </c>
      <c r="O61" s="16">
        <f>IF(AND(ISNUMBER(F78),ISNUMBER(D78),F78&lt;D78),1,0)+IF(AND(ISNUMBER(D81),ISNUMBER(F81),D81&lt;F81),1,0)+IF(AND(ISNUMBER(D83),ISNUMBER(F83),D83&lt;F83),1,0)</f>
        <v/>
      </c>
      <c r="P61" s="16">
        <f>IF(ISNUMBER(F78),F78,0)+IF(ISNUMBER(D81),D81,0)+IF(ISNUMBER(D83),D83,0)</f>
        <v/>
      </c>
      <c r="Q61" s="16">
        <f>IF(ISNUMBER(D78),D78,0)+IF(ISNUMBER(F81),F81,0)+IF(ISNUMBER(F83),F83,0)</f>
        <v/>
      </c>
      <c r="R61" s="16">
        <f>P61-Q61</f>
        <v/>
      </c>
      <c r="S61" s="16">
        <f>M61*3+N61</f>
        <v/>
      </c>
      <c r="T61">
        <f>S61*100000000 + (R61+100)*100000 + P61*1000 + IFERROR(VLOOKUP(K61, RankingFIFA!$A$1:$B$48, 2, FALSE), 0)</f>
        <v/>
      </c>
    </row>
    <row r="62">
      <c r="C62" s="4" t="inlineStr">
        <is>
          <t>España</t>
        </is>
      </c>
      <c r="D62" s="15" t="n">
        <v>5</v>
      </c>
      <c r="E62" s="5" t="inlineStr">
        <is>
          <t>-</t>
        </is>
      </c>
      <c r="F62" s="15" t="n">
        <v>0</v>
      </c>
      <c r="G62" s="6" t="inlineStr">
        <is>
          <t>Cabo Verde</t>
        </is>
      </c>
      <c r="H62">
        <f>IF(AND(ISNUMBER(D62),ISNUMBER(F62)),"Ok","")</f>
        <v/>
      </c>
      <c r="J62" t="inlineStr">
        <is>
          <t>J</t>
        </is>
      </c>
      <c r="K62" t="inlineStr">
        <is>
          <t>Austria</t>
        </is>
      </c>
      <c r="L62" s="16">
        <f>IF(ISNUMBER(D79),1,0)+IF(ISNUMBER(F80),1,0)+IF(ISNUMBER(F83),1,0)</f>
        <v/>
      </c>
      <c r="M62" s="16">
        <f>IF(AND(ISNUMBER(D79),ISNUMBER(F79),D79&gt;F79),1,0)+IF(AND(ISNUMBER(F80),ISNUMBER(D80),F80&gt;D80),1,0)+IF(AND(ISNUMBER(F83),ISNUMBER(D83),F83&gt;D83),1,0)</f>
        <v/>
      </c>
      <c r="N62" s="16">
        <f>IF(AND(ISNUMBER(D79),ISNUMBER(F79),D79=F79),1,0)+IF(AND(ISNUMBER(F80),ISNUMBER(D80),F80=D80),1,0)+IF(AND(ISNUMBER(F83),ISNUMBER(D83),F83=D83),1,0)</f>
        <v/>
      </c>
      <c r="O62" s="16">
        <f>IF(AND(ISNUMBER(D79),ISNUMBER(F79),D79&lt;F79),1,0)+IF(AND(ISNUMBER(F80),ISNUMBER(D80),F80&lt;D80),1,0)+IF(AND(ISNUMBER(F83),ISNUMBER(D83),F83&lt;D83),1,0)</f>
        <v/>
      </c>
      <c r="P62" s="16">
        <f>IF(ISNUMBER(D79),D79,0)+IF(ISNUMBER(F80),F80,0)+IF(ISNUMBER(F83),F83,0)</f>
        <v/>
      </c>
      <c r="Q62" s="16">
        <f>IF(ISNUMBER(F79),F79,0)+IF(ISNUMBER(D80),D80,0)+IF(ISNUMBER(D83),D83,0)</f>
        <v/>
      </c>
      <c r="R62" s="16">
        <f>P62-Q62</f>
        <v/>
      </c>
      <c r="S62" s="16">
        <f>M62*3+N62</f>
        <v/>
      </c>
      <c r="T62">
        <f>S62*100000000 + (R62+100)*100000 + P62*1000 + IFERROR(VLOOKUP(K62, RankingFIFA!$A$1:$B$48, 2, FALSE), 0)</f>
        <v/>
      </c>
    </row>
    <row r="63">
      <c r="C63" s="4" t="inlineStr">
        <is>
          <t>Arabia Saud.</t>
        </is>
      </c>
      <c r="D63" s="15" t="n">
        <v>2</v>
      </c>
      <c r="E63" s="5" t="inlineStr">
        <is>
          <t>-</t>
        </is>
      </c>
      <c r="F63" s="15" t="n">
        <v>1</v>
      </c>
      <c r="G63" s="6" t="inlineStr">
        <is>
          <t>Uruguay</t>
        </is>
      </c>
      <c r="H63">
        <f>IF(AND(ISNUMBER(D63),ISNUMBER(F63)),"Ok","")</f>
        <v/>
      </c>
      <c r="J63" t="inlineStr">
        <is>
          <t>J</t>
        </is>
      </c>
      <c r="K63" t="inlineStr">
        <is>
          <t>Jordania</t>
        </is>
      </c>
      <c r="L63" s="16">
        <f>IF(ISNUMBER(F79),1,0)+IF(ISNUMBER(F81),1,0)+IF(ISNUMBER(D82),1,0)</f>
        <v/>
      </c>
      <c r="M63" s="16">
        <f>IF(AND(ISNUMBER(F79),ISNUMBER(D79),F79&gt;D79),1,0)+IF(AND(ISNUMBER(F81),ISNUMBER(D81),F81&gt;D81),1,0)+IF(AND(ISNUMBER(D82),ISNUMBER(F82),D82&gt;F82),1,0)</f>
        <v/>
      </c>
      <c r="N63" s="16">
        <f>IF(AND(ISNUMBER(F79),ISNUMBER(D79),F79=D79),1,0)+IF(AND(ISNUMBER(F81),ISNUMBER(D81),F81=D81),1,0)+IF(AND(ISNUMBER(D82),ISNUMBER(F82),D82=F82),1,0)</f>
        <v/>
      </c>
      <c r="O63" s="16">
        <f>IF(AND(ISNUMBER(F79),ISNUMBER(D79),F79&lt;D79),1,0)+IF(AND(ISNUMBER(F81),ISNUMBER(D81),F81&lt;D81),1,0)+IF(AND(ISNUMBER(D82),ISNUMBER(F82),D82&lt;F82),1,0)</f>
        <v/>
      </c>
      <c r="P63" s="16">
        <f>IF(ISNUMBER(F79),F79,0)+IF(ISNUMBER(F81),F81,0)+IF(ISNUMBER(D82),D82,0)</f>
        <v/>
      </c>
      <c r="Q63" s="16">
        <f>IF(ISNUMBER(D79),D79,0)+IF(ISNUMBER(D81),D81,0)+IF(ISNUMBER(F82),F82,0)</f>
        <v/>
      </c>
      <c r="R63" s="16">
        <f>P63-Q63</f>
        <v/>
      </c>
      <c r="S63" s="16">
        <f>M63*3+N63</f>
        <v/>
      </c>
      <c r="T63">
        <f>S63*100000000 + (R63+100)*100000 + P63*1000 + IFERROR(VLOOKUP(K63, RankingFIFA!$A$1:$B$48, 2, FALSE), 0)</f>
        <v/>
      </c>
    </row>
    <row r="64">
      <c r="C64" s="4" t="inlineStr">
        <is>
          <t>España</t>
        </is>
      </c>
      <c r="D64" s="15" t="n">
        <v>4</v>
      </c>
      <c r="E64" s="5" t="inlineStr">
        <is>
          <t>-</t>
        </is>
      </c>
      <c r="F64" s="15" t="n">
        <v>1</v>
      </c>
      <c r="G64" s="6" t="inlineStr">
        <is>
          <t>Arabia Saud.</t>
        </is>
      </c>
      <c r="H64">
        <f>IF(AND(ISNUMBER(D64),ISNUMBER(F64)),"Ok","")</f>
        <v/>
      </c>
    </row>
    <row r="65" ht="18.75" customHeight="1" s="10">
      <c r="C65" s="4" t="inlineStr">
        <is>
          <t>Cabo Verde</t>
        </is>
      </c>
      <c r="D65" s="15" t="n">
        <v>1</v>
      </c>
      <c r="E65" s="5" t="inlineStr">
        <is>
          <t>-</t>
        </is>
      </c>
      <c r="F65" s="15" t="n">
        <v>3</v>
      </c>
      <c r="G65" s="6" t="inlineStr">
        <is>
          <t>Uruguay</t>
        </is>
      </c>
      <c r="H65">
        <f>IF(AND(ISNUMBER(D65),ISNUMBER(F65)),"Ok","")</f>
        <v/>
      </c>
      <c r="J65" s="20" t="inlineStr">
        <is>
          <t>CLASIFICACIÓN GRUPO K</t>
        </is>
      </c>
    </row>
    <row r="66">
      <c r="C66" s="4" t="inlineStr">
        <is>
          <t>Uruguay</t>
        </is>
      </c>
      <c r="D66" s="15" t="n">
        <v>1</v>
      </c>
      <c r="E66" s="5" t="inlineStr">
        <is>
          <t>-</t>
        </is>
      </c>
      <c r="F66" s="15" t="n">
        <v>3</v>
      </c>
      <c r="G66" s="6" t="inlineStr">
        <is>
          <t>España</t>
        </is>
      </c>
      <c r="H66">
        <f>IF(AND(ISNUMBER(D66),ISNUMBER(F66)),"Ok","")</f>
        <v/>
      </c>
      <c r="J66" t="inlineStr">
        <is>
          <t>K</t>
        </is>
      </c>
      <c r="K66" t="inlineStr">
        <is>
          <t>Portugal</t>
        </is>
      </c>
      <c r="L66" s="16">
        <f>IF(ISNUMBER(D86),1,0)+IF(ISNUMBER(D88),1,0)+IF(ISNUMBER(F90),1,0)</f>
        <v/>
      </c>
      <c r="M66" s="16">
        <f>IF(AND(ISNUMBER(D86),ISNUMBER(F86),D86&gt;F86),1,0)+IF(AND(ISNUMBER(D88),ISNUMBER(F88),D88&gt;F88),1,0)+IF(AND(ISNUMBER(F90),ISNUMBER(D90),F90&gt;D90),1,0)</f>
        <v/>
      </c>
      <c r="N66" s="16">
        <f>IF(AND(ISNUMBER(D86),ISNUMBER(F86),D86=F86),1,0)+IF(AND(ISNUMBER(D88),ISNUMBER(F88),D88=F88),1,0)+IF(AND(ISNUMBER(F90),ISNUMBER(D90),F90=D90),1,0)</f>
        <v/>
      </c>
      <c r="O66" s="16">
        <f>IF(AND(ISNUMBER(D86),ISNUMBER(F86),D86&lt;F86),1,0)+IF(AND(ISNUMBER(D88),ISNUMBER(F88),D88&lt;F88),1,0)+IF(AND(ISNUMBER(F90),ISNUMBER(D90),F90&lt;D90),1,0)</f>
        <v/>
      </c>
      <c r="P66" s="16">
        <f>IF(ISNUMBER(D86),D86,0)+IF(ISNUMBER(D88),D88,0)+IF(ISNUMBER(F90),F90,0)</f>
        <v/>
      </c>
      <c r="Q66" s="16">
        <f>IF(ISNUMBER(F86),F86,0)+IF(ISNUMBER(F88),F88,0)+IF(ISNUMBER(D90),D90,0)</f>
        <v/>
      </c>
      <c r="R66" s="16">
        <f>P66-Q66</f>
        <v/>
      </c>
      <c r="S66" s="16">
        <f>M66*3+N66</f>
        <v/>
      </c>
      <c r="T66">
        <f>S66*100000000 + (R66+100)*100000 + P66*1000 + IFERROR(VLOOKUP(K66, RankingFIFA!$A$1:$B$48, 2, FALSE), 0)</f>
        <v/>
      </c>
    </row>
    <row r="67">
      <c r="C67" s="4" t="inlineStr">
        <is>
          <t>Cabo Verde</t>
        </is>
      </c>
      <c r="D67" s="15" t="n">
        <v>2</v>
      </c>
      <c r="E67" s="5" t="inlineStr">
        <is>
          <t>-</t>
        </is>
      </c>
      <c r="F67" s="15" t="n">
        <v>2</v>
      </c>
      <c r="G67" s="6" t="inlineStr">
        <is>
          <t>Arabia Saud.</t>
        </is>
      </c>
      <c r="H67">
        <f>IF(AND(ISNUMBER(D67),ISNUMBER(F67)),"Ok","")</f>
        <v/>
      </c>
      <c r="J67" t="inlineStr">
        <is>
          <t>K</t>
        </is>
      </c>
      <c r="K67" t="inlineStr">
        <is>
          <t>RD Congo</t>
        </is>
      </c>
      <c r="L67" s="16">
        <f>IF(ISNUMBER(F86),1,0)+IF(ISNUMBER(D89),1,0)+IF(ISNUMBER(D91),1,0)</f>
        <v/>
      </c>
      <c r="M67" s="16">
        <f>IF(AND(ISNUMBER(F86),ISNUMBER(D86),F86&gt;D86),1,0)+IF(AND(ISNUMBER(D89),ISNUMBER(F89),D89&gt;F89),1,0)+IF(AND(ISNUMBER(D91),ISNUMBER(F91),D91&gt;F91),1,0)</f>
        <v/>
      </c>
      <c r="N67" s="16">
        <f>IF(AND(ISNUMBER(F86),ISNUMBER(D86),F86=D86),1,0)+IF(AND(ISNUMBER(D89),ISNUMBER(F89),D89=F89),1,0)+IF(AND(ISNUMBER(D91),ISNUMBER(F91),D91=F91),1,0)</f>
        <v/>
      </c>
      <c r="O67" s="16">
        <f>IF(AND(ISNUMBER(F86),ISNUMBER(D86),F86&lt;D86),1,0)+IF(AND(ISNUMBER(D89),ISNUMBER(F89),D89&lt;F89),1,0)+IF(AND(ISNUMBER(D91),ISNUMBER(F91),D91&lt;F91),1,0)</f>
        <v/>
      </c>
      <c r="P67" s="16">
        <f>IF(ISNUMBER(F86),F86,0)+IF(ISNUMBER(D89),D89,0)+IF(ISNUMBER(D91),D91,0)</f>
        <v/>
      </c>
      <c r="Q67" s="16">
        <f>IF(ISNUMBER(D86),D86,0)+IF(ISNUMBER(F89),F89,0)+IF(ISNUMBER(F91),F91,0)</f>
        <v/>
      </c>
      <c r="R67" s="16">
        <f>P67-Q67</f>
        <v/>
      </c>
      <c r="S67" s="16">
        <f>M67*3+N67</f>
        <v/>
      </c>
      <c r="T67">
        <f>S67*100000000 + (R67+100)*100000 + P67*1000 + IFERROR(VLOOKUP(K67, RankingFIFA!$A$1:$B$48, 2, FALSE), 0)</f>
        <v/>
      </c>
    </row>
    <row r="68">
      <c r="J68" t="inlineStr">
        <is>
          <t>K</t>
        </is>
      </c>
      <c r="K68" t="inlineStr">
        <is>
          <t>Uzbekistán</t>
        </is>
      </c>
      <c r="L68" s="16">
        <f>IF(ISNUMBER(D87),1,0)+IF(ISNUMBER(F88),1,0)+IF(ISNUMBER(F91),1,0)</f>
        <v/>
      </c>
      <c r="M68" s="16">
        <f>IF(AND(ISNUMBER(D87),ISNUMBER(F87),D87&gt;F87),1,0)+IF(AND(ISNUMBER(F88),ISNUMBER(D88),F88&gt;D88),1,0)+IF(AND(ISNUMBER(F91),ISNUMBER(D91),F91&gt;D91),1,0)</f>
        <v/>
      </c>
      <c r="N68" s="16">
        <f>IF(AND(ISNUMBER(D87),ISNUMBER(F87),D87=F87),1,0)+IF(AND(ISNUMBER(F88),ISNUMBER(D88),F88=D88),1,0)+IF(AND(ISNUMBER(F91),ISNUMBER(D91),F91=D91),1,0)</f>
        <v/>
      </c>
      <c r="O68" s="16">
        <f>IF(AND(ISNUMBER(D87),ISNUMBER(F87),D87&lt;F87),1,0)+IF(AND(ISNUMBER(F88),ISNUMBER(D88),F88&lt;D88),1,0)+IF(AND(ISNUMBER(F91),ISNUMBER(D91),F91&lt;D91),1,0)</f>
        <v/>
      </c>
      <c r="P68" s="16">
        <f>IF(ISNUMBER(D87),D87,0)+IF(ISNUMBER(F88),F88,0)+IF(ISNUMBER(F91),F91,0)</f>
        <v/>
      </c>
      <c r="Q68" s="16">
        <f>IF(ISNUMBER(F87),F87,0)+IF(ISNUMBER(D88),D88,0)+IF(ISNUMBER(D91),D91,0)</f>
        <v/>
      </c>
      <c r="R68" s="16">
        <f>P68-Q68</f>
        <v/>
      </c>
      <c r="S68" s="16">
        <f>M68*3+N68</f>
        <v/>
      </c>
      <c r="T68">
        <f>S68*100000000 + (R68+100)*100000 + P68*1000 + IFERROR(VLOOKUP(K68, RankingFIFA!$A$1:$B$48, 2, FALSE), 0)</f>
        <v/>
      </c>
    </row>
    <row r="69" ht="18.75" customHeight="1" s="10">
      <c r="A69" s="20" t="inlineStr">
        <is>
          <t>GRUPO I</t>
        </is>
      </c>
      <c r="J69" t="inlineStr">
        <is>
          <t>K</t>
        </is>
      </c>
      <c r="K69" t="inlineStr">
        <is>
          <t>Colombia</t>
        </is>
      </c>
      <c r="L69" s="16">
        <f>IF(ISNUMBER(F87),1,0)+IF(ISNUMBER(F89),1,0)+IF(ISNUMBER(D90),1,0)</f>
        <v/>
      </c>
      <c r="M69" s="16">
        <f>IF(AND(ISNUMBER(F87),ISNUMBER(D87),F87&gt;D87),1,0)+IF(AND(ISNUMBER(F89),ISNUMBER(D89),F89&gt;D89),1,0)+IF(AND(ISNUMBER(D90),ISNUMBER(F90),D90&gt;F90),1,0)</f>
        <v/>
      </c>
      <c r="N69" s="16">
        <f>IF(AND(ISNUMBER(F87),ISNUMBER(D87),F87=D87),1,0)+IF(AND(ISNUMBER(F89),ISNUMBER(D89),F89=D89),1,0)+IF(AND(ISNUMBER(D90),ISNUMBER(F90),D90=F90),1,0)</f>
        <v/>
      </c>
      <c r="O69" s="16">
        <f>IF(AND(ISNUMBER(F87),ISNUMBER(D87),F87&lt;D87),1,0)+IF(AND(ISNUMBER(F89),ISNUMBER(D89),F89&lt;D89),1,0)+IF(AND(ISNUMBER(D90),ISNUMBER(F90),D90&lt;F90),1,0)</f>
        <v/>
      </c>
      <c r="P69" s="16">
        <f>IF(ISNUMBER(F87),F87,0)+IF(ISNUMBER(F89),F89,0)+IF(ISNUMBER(D90),D90,0)</f>
        <v/>
      </c>
      <c r="Q69" s="16">
        <f>IF(ISNUMBER(D87),D87,0)+IF(ISNUMBER(D89),D89,0)+IF(ISNUMBER(F90),F90,0)</f>
        <v/>
      </c>
      <c r="R69" s="16">
        <f>P69-Q69</f>
        <v/>
      </c>
      <c r="S69" s="16">
        <f>M69*3+N69</f>
        <v/>
      </c>
      <c r="T69">
        <f>S69*100000000 + (R69+100)*100000 + P69*1000 + IFERROR(VLOOKUP(K69, RankingFIFA!$A$1:$B$48, 2, FALSE), 0)</f>
        <v/>
      </c>
    </row>
    <row r="70">
      <c r="C70" s="4" t="inlineStr">
        <is>
          <t>Francia</t>
        </is>
      </c>
      <c r="D70" s="15" t="n">
        <v>3</v>
      </c>
      <c r="E70" s="5" t="inlineStr">
        <is>
          <t>-</t>
        </is>
      </c>
      <c r="F70" s="15" t="n">
        <v>0</v>
      </c>
      <c r="G70" s="6" t="inlineStr">
        <is>
          <t>Senegal</t>
        </is>
      </c>
      <c r="H70">
        <f>IF(AND(ISNUMBER(D70),ISNUMBER(F70)),"Ok","")</f>
        <v/>
      </c>
    </row>
    <row r="71" ht="18.75" customHeight="1" s="10">
      <c r="C71" s="4" t="inlineStr">
        <is>
          <t>Irak</t>
        </is>
      </c>
      <c r="D71" s="15" t="n">
        <v>4</v>
      </c>
      <c r="E71" s="5" t="inlineStr">
        <is>
          <t>-</t>
        </is>
      </c>
      <c r="F71" s="15" t="n">
        <v>1</v>
      </c>
      <c r="G71" s="6" t="inlineStr">
        <is>
          <t>Noruega</t>
        </is>
      </c>
      <c r="H71">
        <f>IF(AND(ISNUMBER(D71),ISNUMBER(F71)),"Ok","")</f>
        <v/>
      </c>
      <c r="J71" s="20" t="inlineStr">
        <is>
          <t>CLASIFICACIÓN GRUPO L</t>
        </is>
      </c>
    </row>
    <row r="72">
      <c r="C72" s="4" t="inlineStr">
        <is>
          <t>Francia</t>
        </is>
      </c>
      <c r="D72" s="15" t="n">
        <v>3</v>
      </c>
      <c r="E72" s="5" t="inlineStr">
        <is>
          <t>-</t>
        </is>
      </c>
      <c r="F72" s="15" t="n">
        <v>1</v>
      </c>
      <c r="G72" s="6" t="inlineStr">
        <is>
          <t>Irak</t>
        </is>
      </c>
      <c r="H72">
        <f>IF(AND(ISNUMBER(D72),ISNUMBER(F72)),"Ok","")</f>
        <v/>
      </c>
      <c r="J72" t="inlineStr">
        <is>
          <t>L</t>
        </is>
      </c>
      <c r="K72" t="inlineStr">
        <is>
          <t>Inglaterra</t>
        </is>
      </c>
      <c r="L72" s="16">
        <f>IF(ISNUMBER(D94),1,0)+IF(ISNUMBER(D96),1,0)+IF(ISNUMBER(F98),1,0)</f>
        <v/>
      </c>
      <c r="M72" s="16">
        <f>IF(AND(ISNUMBER(D94),ISNUMBER(F94),D94&gt;F94),1,0)+IF(AND(ISNUMBER(D96),ISNUMBER(F96),D96&gt;F96),1,0)+IF(AND(ISNUMBER(F98),ISNUMBER(D98),F98&gt;D98),1,0)</f>
        <v/>
      </c>
      <c r="N72" s="16">
        <f>IF(AND(ISNUMBER(D94),ISNUMBER(F94),D94=F94),1,0)+IF(AND(ISNUMBER(D96),ISNUMBER(F96),D96=F96),1,0)+IF(AND(ISNUMBER(F98),ISNUMBER(D98),F98=D98),1,0)</f>
        <v/>
      </c>
      <c r="O72" s="16">
        <f>IF(AND(ISNUMBER(D94),ISNUMBER(F94),D94&lt;F94),1,0)+IF(AND(ISNUMBER(D96),ISNUMBER(F96),D96&lt;F96),1,0)+IF(AND(ISNUMBER(F98),ISNUMBER(D98),F98&lt;D98),1,0)</f>
        <v/>
      </c>
      <c r="P72" s="16">
        <f>IF(ISNUMBER(D94),D94,0)+IF(ISNUMBER(D96),D96,0)+IF(ISNUMBER(F98),F98,0)</f>
        <v/>
      </c>
      <c r="Q72" s="16">
        <f>IF(ISNUMBER(F94),F94,0)+IF(ISNUMBER(F96),F96,0)+IF(ISNUMBER(D98),D98,0)</f>
        <v/>
      </c>
      <c r="R72" s="16">
        <f>P72-Q72</f>
        <v/>
      </c>
      <c r="S72" s="16">
        <f>M72*3+N72</f>
        <v/>
      </c>
      <c r="T72">
        <f>S72*100000000 + (R72+100)*100000 + P72*1000 + IFERROR(VLOOKUP(K72, RankingFIFA!$A$1:$B$48, 2, FALSE), 0)</f>
        <v/>
      </c>
    </row>
    <row r="73">
      <c r="C73" s="4" t="inlineStr">
        <is>
          <t>Senegal</t>
        </is>
      </c>
      <c r="D73" s="15" t="n">
        <v>1</v>
      </c>
      <c r="E73" s="5" t="inlineStr">
        <is>
          <t>-</t>
        </is>
      </c>
      <c r="F73" s="15" t="n">
        <v>3</v>
      </c>
      <c r="G73" s="6" t="inlineStr">
        <is>
          <t>Noruega</t>
        </is>
      </c>
      <c r="H73">
        <f>IF(AND(ISNUMBER(D73),ISNUMBER(F73)),"Ok","")</f>
        <v/>
      </c>
      <c r="J73" t="inlineStr">
        <is>
          <t>L</t>
        </is>
      </c>
      <c r="K73" t="inlineStr">
        <is>
          <t>Croacia</t>
        </is>
      </c>
      <c r="L73" s="16">
        <f>IF(ISNUMBER(F94),1,0)+IF(ISNUMBER(D97),1,0)+IF(ISNUMBER(D99),1,0)</f>
        <v/>
      </c>
      <c r="M73" s="16">
        <f>IF(AND(ISNUMBER(F94),ISNUMBER(D94),F94&gt;D94),1,0)+IF(AND(ISNUMBER(D97),ISNUMBER(F97),D97&gt;F97),1,0)+IF(AND(ISNUMBER(D99),ISNUMBER(F99),D99&gt;F99),1,0)</f>
        <v/>
      </c>
      <c r="N73" s="16">
        <f>IF(AND(ISNUMBER(F94),ISNUMBER(D94),F94=D94),1,0)+IF(AND(ISNUMBER(D97),ISNUMBER(F97),D97=F97),1,0)+IF(AND(ISNUMBER(D99),ISNUMBER(F99),D99=F99),1,0)</f>
        <v/>
      </c>
      <c r="O73" s="16">
        <f>IF(AND(ISNUMBER(F94),ISNUMBER(D94),F94&lt;D94),1,0)+IF(AND(ISNUMBER(D97),ISNUMBER(F97),D97&lt;F97),1,0)+IF(AND(ISNUMBER(D99),ISNUMBER(F99),D99&lt;F99),1,0)</f>
        <v/>
      </c>
      <c r="P73" s="16">
        <f>IF(ISNUMBER(F94),F94,0)+IF(ISNUMBER(D97),D97,0)+IF(ISNUMBER(D99),D99,0)</f>
        <v/>
      </c>
      <c r="Q73" s="16">
        <f>IF(ISNUMBER(D94),D94,0)+IF(ISNUMBER(F97),F97,0)+IF(ISNUMBER(F99),F99,0)</f>
        <v/>
      </c>
      <c r="R73" s="16">
        <f>P73-Q73</f>
        <v/>
      </c>
      <c r="S73" s="16">
        <f>M73*3+N73</f>
        <v/>
      </c>
      <c r="T73">
        <f>S73*100000000 + (R73+100)*100000 + P73*1000 + IFERROR(VLOOKUP(K73, RankingFIFA!$A$1:$B$48, 2, FALSE), 0)</f>
        <v/>
      </c>
    </row>
    <row r="74">
      <c r="C74" s="4" t="inlineStr">
        <is>
          <t>Noruega</t>
        </is>
      </c>
      <c r="D74" s="15" t="n">
        <v>1</v>
      </c>
      <c r="E74" s="5" t="inlineStr">
        <is>
          <t>-</t>
        </is>
      </c>
      <c r="F74" s="15" t="n">
        <v>3</v>
      </c>
      <c r="G74" s="6" t="inlineStr">
        <is>
          <t>Francia</t>
        </is>
      </c>
      <c r="H74">
        <f>IF(AND(ISNUMBER(D74),ISNUMBER(F74)),"Ok","")</f>
        <v/>
      </c>
      <c r="J74" t="inlineStr">
        <is>
          <t>L</t>
        </is>
      </c>
      <c r="K74" t="inlineStr">
        <is>
          <t>Ghana</t>
        </is>
      </c>
      <c r="L74" s="16">
        <f>IF(ISNUMBER(D95),1,0)+IF(ISNUMBER(F96),1,0)+IF(ISNUMBER(F99),1,0)</f>
        <v/>
      </c>
      <c r="M74" s="16">
        <f>IF(AND(ISNUMBER(D95),ISNUMBER(F95),D95&gt;F95),1,0)+IF(AND(ISNUMBER(F96),ISNUMBER(D96),F96&gt;D96),1,0)+IF(AND(ISNUMBER(F99),ISNUMBER(D99),F99&gt;D99),1,0)</f>
        <v/>
      </c>
      <c r="N74" s="16">
        <f>IF(AND(ISNUMBER(D95),ISNUMBER(F95),D95=F95),1,0)+IF(AND(ISNUMBER(F96),ISNUMBER(D96),F96=D96),1,0)+IF(AND(ISNUMBER(F99),ISNUMBER(D99),F99=D99),1,0)</f>
        <v/>
      </c>
      <c r="O74" s="16">
        <f>IF(AND(ISNUMBER(D95),ISNUMBER(F95),D95&lt;F95),1,0)+IF(AND(ISNUMBER(F96),ISNUMBER(D96),F96&lt;D96),1,0)+IF(AND(ISNUMBER(F99),ISNUMBER(D99),F99&lt;D99),1,0)</f>
        <v/>
      </c>
      <c r="P74" s="16">
        <f>IF(ISNUMBER(D95),D95,0)+IF(ISNUMBER(F96),F96,0)+IF(ISNUMBER(F99),F99,0)</f>
        <v/>
      </c>
      <c r="Q74" s="16">
        <f>IF(ISNUMBER(F95),F95,0)+IF(ISNUMBER(D96),D96,0)+IF(ISNUMBER(D99),D99,0)</f>
        <v/>
      </c>
      <c r="R74" s="16">
        <f>P74-Q74</f>
        <v/>
      </c>
      <c r="S74" s="16">
        <f>M74*3+N74</f>
        <v/>
      </c>
      <c r="T74">
        <f>S74*100000000 + (R74+100)*100000 + P74*1000 + IFERROR(VLOOKUP(K74, RankingFIFA!$A$1:$B$48, 2, FALSE), 0)</f>
        <v/>
      </c>
    </row>
    <row r="75">
      <c r="C75" s="4" t="inlineStr">
        <is>
          <t>Senegal</t>
        </is>
      </c>
      <c r="D75" s="15" t="n">
        <v>3</v>
      </c>
      <c r="E75" s="5" t="inlineStr">
        <is>
          <t>-</t>
        </is>
      </c>
      <c r="F75" s="15" t="n">
        <v>1</v>
      </c>
      <c r="G75" s="6" t="inlineStr">
        <is>
          <t>Irak</t>
        </is>
      </c>
      <c r="H75">
        <f>IF(AND(ISNUMBER(D75),ISNUMBER(F75)),"Ok","")</f>
        <v/>
      </c>
      <c r="J75" t="inlineStr">
        <is>
          <t>L</t>
        </is>
      </c>
      <c r="K75" t="inlineStr">
        <is>
          <t>Panamá</t>
        </is>
      </c>
      <c r="L75" s="16">
        <f>IF(ISNUMBER(F95),1,0)+IF(ISNUMBER(F97),1,0)+IF(ISNUMBER(D98),1,0)</f>
        <v/>
      </c>
      <c r="M75" s="16">
        <f>IF(AND(ISNUMBER(F95),ISNUMBER(D95),F95&gt;D95),1,0)+IF(AND(ISNUMBER(F97),ISNUMBER(D97),F97&gt;D97),1,0)+IF(AND(ISNUMBER(D98),ISNUMBER(F98),D98&gt;F98),1,0)</f>
        <v/>
      </c>
      <c r="N75" s="16">
        <f>IF(AND(ISNUMBER(F95),ISNUMBER(D95),F95=D95),1,0)+IF(AND(ISNUMBER(F97),ISNUMBER(D97),F97=D97),1,0)+IF(AND(ISNUMBER(D98),ISNUMBER(F98),D98=F98),1,0)</f>
        <v/>
      </c>
      <c r="O75" s="16">
        <f>IF(AND(ISNUMBER(F95),ISNUMBER(D95),F95&lt;D95),1,0)+IF(AND(ISNUMBER(F97),ISNUMBER(D97),F97&lt;D97),1,0)+IF(AND(ISNUMBER(D98),ISNUMBER(F98),D98&lt;F98),1,0)</f>
        <v/>
      </c>
      <c r="P75" s="16">
        <f>IF(ISNUMBER(F95),F95,0)+IF(ISNUMBER(F97),F97,0)+IF(ISNUMBER(D98),D98,0)</f>
        <v/>
      </c>
      <c r="Q75" s="16">
        <f>IF(ISNUMBER(D95),D95,0)+IF(ISNUMBER(D97),D97,0)+IF(ISNUMBER(F98),F98,0)</f>
        <v/>
      </c>
      <c r="R75" s="16">
        <f>P75-Q75</f>
        <v/>
      </c>
      <c r="S75" s="16">
        <f>M75*3+N75</f>
        <v/>
      </c>
      <c r="T75">
        <f>S75*100000000 + (R75+100)*100000 + P75*1000 + IFERROR(VLOOKUP(K75, RankingFIFA!$A$1:$B$48, 2, FALSE), 0)</f>
        <v/>
      </c>
    </row>
    <row r="77" ht="18.75" customHeight="1" s="10">
      <c r="A77" s="20" t="inlineStr">
        <is>
          <t>GRUPO J</t>
        </is>
      </c>
    </row>
    <row r="78">
      <c r="C78" s="4" t="inlineStr">
        <is>
          <t>Argentina</t>
        </is>
      </c>
      <c r="D78" s="15" t="n">
        <v>3</v>
      </c>
      <c r="E78" s="5" t="inlineStr">
        <is>
          <t>-</t>
        </is>
      </c>
      <c r="F78" s="15" t="n">
        <v>0</v>
      </c>
      <c r="G78" s="6" t="inlineStr">
        <is>
          <t>Argelia</t>
        </is>
      </c>
      <c r="H78">
        <f>IF(AND(ISNUMBER(D78),ISNUMBER(F78)),"Ok","")</f>
        <v/>
      </c>
    </row>
    <row r="79">
      <c r="C79" s="4" t="inlineStr">
        <is>
          <t>Austria</t>
        </is>
      </c>
      <c r="D79" s="15" t="n">
        <v>4</v>
      </c>
      <c r="E79" s="5" t="inlineStr">
        <is>
          <t>-</t>
        </is>
      </c>
      <c r="F79" s="15" t="n">
        <v>1</v>
      </c>
      <c r="G79" s="6" t="inlineStr">
        <is>
          <t>Jordania</t>
        </is>
      </c>
      <c r="H79">
        <f>IF(AND(ISNUMBER(D79),ISNUMBER(F79)),"Ok","")</f>
        <v/>
      </c>
    </row>
    <row r="80">
      <c r="C80" s="4" t="inlineStr">
        <is>
          <t>Argentina</t>
        </is>
      </c>
      <c r="D80" s="15" t="n">
        <v>3</v>
      </c>
      <c r="E80" s="5" t="inlineStr">
        <is>
          <t>-</t>
        </is>
      </c>
      <c r="F80" s="15" t="n">
        <v>1</v>
      </c>
      <c r="G80" s="6" t="inlineStr">
        <is>
          <t>Austria</t>
        </is>
      </c>
      <c r="H80">
        <f>IF(AND(ISNUMBER(D80),ISNUMBER(F80)),"Ok","")</f>
        <v/>
      </c>
    </row>
    <row r="81">
      <c r="C81" s="4" t="inlineStr">
        <is>
          <t>Argelia</t>
        </is>
      </c>
      <c r="D81" s="15" t="n">
        <v>3</v>
      </c>
      <c r="E81" s="5" t="inlineStr">
        <is>
          <t>-</t>
        </is>
      </c>
      <c r="F81" s="15" t="n">
        <v>3</v>
      </c>
      <c r="G81" s="6" t="inlineStr">
        <is>
          <t>Jordania</t>
        </is>
      </c>
      <c r="H81">
        <f>IF(AND(ISNUMBER(D81),ISNUMBER(F81)),"Ok","")</f>
        <v/>
      </c>
    </row>
    <row r="82">
      <c r="C82" s="4" t="inlineStr">
        <is>
          <t>Jordania</t>
        </is>
      </c>
      <c r="D82" s="15" t="n">
        <v>1</v>
      </c>
      <c r="E82" s="5" t="inlineStr">
        <is>
          <t>-</t>
        </is>
      </c>
      <c r="F82" s="15" t="n">
        <v>3</v>
      </c>
      <c r="G82" s="6" t="inlineStr">
        <is>
          <t>Argentina</t>
        </is>
      </c>
      <c r="H82">
        <f>IF(AND(ISNUMBER(D82),ISNUMBER(F82)),"Ok","")</f>
        <v/>
      </c>
    </row>
    <row r="83">
      <c r="C83" s="4" t="inlineStr">
        <is>
          <t>Argelia</t>
        </is>
      </c>
      <c r="D83" s="15" t="n">
        <v>2</v>
      </c>
      <c r="E83" s="5" t="inlineStr">
        <is>
          <t>-</t>
        </is>
      </c>
      <c r="F83" s="15" t="n">
        <v>1</v>
      </c>
      <c r="G83" s="6" t="inlineStr">
        <is>
          <t>Austria</t>
        </is>
      </c>
      <c r="H83">
        <f>IF(AND(ISNUMBER(D83),ISNUMBER(F83)),"Ok","")</f>
        <v/>
      </c>
    </row>
    <row r="85" ht="18.75" customHeight="1" s="10">
      <c r="A85" s="20" t="inlineStr">
        <is>
          <t>GRUPO K</t>
        </is>
      </c>
    </row>
    <row r="86">
      <c r="C86" s="4" t="inlineStr">
        <is>
          <t>Portugal</t>
        </is>
      </c>
      <c r="D86" s="15" t="n">
        <v>4</v>
      </c>
      <c r="E86" s="5" t="inlineStr">
        <is>
          <t>-</t>
        </is>
      </c>
      <c r="F86" s="15" t="n">
        <v>1</v>
      </c>
      <c r="G86" s="6" t="inlineStr">
        <is>
          <t>RD Congo</t>
        </is>
      </c>
      <c r="H86">
        <f>IF(AND(ISNUMBER(D86),ISNUMBER(F86)),"Ok","")</f>
        <v/>
      </c>
    </row>
    <row r="87">
      <c r="C87" s="4" t="inlineStr">
        <is>
          <t>Uzbekistán</t>
        </is>
      </c>
      <c r="D87" s="15" t="n">
        <v>0</v>
      </c>
      <c r="E87" s="5" t="inlineStr">
        <is>
          <t>-</t>
        </is>
      </c>
      <c r="F87" s="15" t="n">
        <v>1</v>
      </c>
      <c r="G87" s="6" t="inlineStr">
        <is>
          <t>Colombia</t>
        </is>
      </c>
      <c r="H87">
        <f>IF(AND(ISNUMBER(D87),ISNUMBER(F87)),"Ok","")</f>
        <v/>
      </c>
    </row>
    <row r="88">
      <c r="C88" s="4" t="inlineStr">
        <is>
          <t>Portugal</t>
        </is>
      </c>
      <c r="D88" s="15" t="n">
        <v>3</v>
      </c>
      <c r="E88" s="5" t="inlineStr">
        <is>
          <t>-</t>
        </is>
      </c>
      <c r="F88" s="15" t="n">
        <v>1</v>
      </c>
      <c r="G88" s="6" t="inlineStr">
        <is>
          <t>Uzbekistán</t>
        </is>
      </c>
      <c r="H88">
        <f>IF(AND(ISNUMBER(D88),ISNUMBER(F88)),"Ok","")</f>
        <v/>
      </c>
    </row>
    <row r="89">
      <c r="C89" s="4" t="inlineStr">
        <is>
          <t>RD Congo</t>
        </is>
      </c>
      <c r="D89" s="15" t="n">
        <v>0</v>
      </c>
      <c r="E89" s="5" t="inlineStr">
        <is>
          <t>-</t>
        </is>
      </c>
      <c r="F89" s="15" t="n">
        <v>3</v>
      </c>
      <c r="G89" s="6" t="inlineStr">
        <is>
          <t>Colombia</t>
        </is>
      </c>
      <c r="H89">
        <f>IF(AND(ISNUMBER(D89),ISNUMBER(F89)),"Ok","")</f>
        <v/>
      </c>
    </row>
    <row r="90">
      <c r="C90" s="4" t="inlineStr">
        <is>
          <t>Colombia</t>
        </is>
      </c>
      <c r="D90" s="15" t="n">
        <v>1</v>
      </c>
      <c r="E90" s="5" t="inlineStr">
        <is>
          <t>-</t>
        </is>
      </c>
      <c r="F90" s="15" t="n">
        <v>4</v>
      </c>
      <c r="G90" s="6" t="inlineStr">
        <is>
          <t>Portugal</t>
        </is>
      </c>
      <c r="H90">
        <f>IF(AND(ISNUMBER(D90),ISNUMBER(F90)),"Ok","")</f>
        <v/>
      </c>
    </row>
    <row r="91">
      <c r="C91" s="4" t="inlineStr">
        <is>
          <t>RD Congo</t>
        </is>
      </c>
      <c r="D91" s="15" t="n">
        <v>0</v>
      </c>
      <c r="E91" s="5" t="inlineStr">
        <is>
          <t>-</t>
        </is>
      </c>
      <c r="F91" s="15" t="n">
        <v>0</v>
      </c>
      <c r="G91" s="6" t="inlineStr">
        <is>
          <t>Uzbekistán</t>
        </is>
      </c>
      <c r="H91">
        <f>IF(AND(ISNUMBER(D91),ISNUMBER(F91)),"Ok","")</f>
        <v/>
      </c>
    </row>
    <row r="93" ht="18.75" customHeight="1" s="10">
      <c r="A93" s="20" t="inlineStr">
        <is>
          <t>GRUPO L</t>
        </is>
      </c>
    </row>
    <row r="94">
      <c r="C94" s="4" t="inlineStr">
        <is>
          <t>Inglaterra</t>
        </is>
      </c>
      <c r="D94" s="15" t="n">
        <v>2</v>
      </c>
      <c r="E94" s="5" t="inlineStr">
        <is>
          <t>-</t>
        </is>
      </c>
      <c r="F94" s="15" t="n">
        <v>0</v>
      </c>
      <c r="G94" s="6" t="inlineStr">
        <is>
          <t>Croacia</t>
        </is>
      </c>
      <c r="H94">
        <f>IF(AND(ISNUMBER(D94),ISNUMBER(F94)),"Ok","")</f>
        <v/>
      </c>
    </row>
    <row r="95">
      <c r="C95" s="4" t="inlineStr">
        <is>
          <t>Ghana</t>
        </is>
      </c>
      <c r="D95" s="15" t="n">
        <v>4</v>
      </c>
      <c r="E95" s="5" t="inlineStr">
        <is>
          <t>-</t>
        </is>
      </c>
      <c r="F95" s="15" t="n">
        <v>1</v>
      </c>
      <c r="G95" s="6" t="inlineStr">
        <is>
          <t>Panamá</t>
        </is>
      </c>
      <c r="H95">
        <f>IF(AND(ISNUMBER(D95),ISNUMBER(F95)),"Ok","")</f>
        <v/>
      </c>
    </row>
    <row r="96">
      <c r="C96" s="4" t="inlineStr">
        <is>
          <t>Inglaterra</t>
        </is>
      </c>
      <c r="D96" s="15" t="n">
        <v>3</v>
      </c>
      <c r="E96" s="5" t="inlineStr">
        <is>
          <t>-</t>
        </is>
      </c>
      <c r="F96" s="15" t="n">
        <v>1</v>
      </c>
      <c r="G96" s="6" t="inlineStr">
        <is>
          <t>Ghana</t>
        </is>
      </c>
      <c r="H96">
        <f>IF(AND(ISNUMBER(D96),ISNUMBER(F96)),"Ok","")</f>
        <v/>
      </c>
    </row>
    <row r="97">
      <c r="C97" s="4" t="inlineStr">
        <is>
          <t>Croacia</t>
        </is>
      </c>
      <c r="D97" s="15" t="n">
        <v>3</v>
      </c>
      <c r="E97" s="5" t="inlineStr">
        <is>
          <t>-</t>
        </is>
      </c>
      <c r="F97" s="15" t="n">
        <v>3</v>
      </c>
      <c r="G97" s="6" t="inlineStr">
        <is>
          <t>Panamá</t>
        </is>
      </c>
      <c r="H97">
        <f>IF(AND(ISNUMBER(D97),ISNUMBER(F97)),"Ok","")</f>
        <v/>
      </c>
    </row>
    <row r="98">
      <c r="C98" s="4" t="inlineStr">
        <is>
          <t>Panamá</t>
        </is>
      </c>
      <c r="D98" s="15" t="n">
        <v>1</v>
      </c>
      <c r="E98" s="5" t="inlineStr">
        <is>
          <t>-</t>
        </is>
      </c>
      <c r="F98" s="15" t="n">
        <v>3</v>
      </c>
      <c r="G98" s="6" t="inlineStr">
        <is>
          <t>Inglaterra</t>
        </is>
      </c>
      <c r="H98">
        <f>IF(AND(ISNUMBER(D98),ISNUMBER(F98)),"Ok","")</f>
        <v/>
      </c>
    </row>
    <row r="99">
      <c r="C99" s="4" t="inlineStr">
        <is>
          <t>Croacia</t>
        </is>
      </c>
      <c r="D99" s="15" t="n">
        <v>0</v>
      </c>
      <c r="E99" s="5" t="inlineStr">
        <is>
          <t>-</t>
        </is>
      </c>
      <c r="F99" s="15" t="n">
        <v>1</v>
      </c>
      <c r="G99" s="6" t="inlineStr">
        <is>
          <t>Ghana</t>
        </is>
      </c>
      <c r="H99">
        <f>IF(AND(ISNUMBER(D99),ISNUMBER(F99)),"Ok","")</f>
        <v/>
      </c>
    </row>
  </sheetData>
  <mergeCells count="26">
    <mergeCell ref="J1:S2"/>
    <mergeCell ref="J17:T17"/>
    <mergeCell ref="J23:T23"/>
    <mergeCell ref="A77:H77"/>
    <mergeCell ref="J29:T29"/>
    <mergeCell ref="J5:T5"/>
    <mergeCell ref="A45:H45"/>
    <mergeCell ref="J59:T59"/>
    <mergeCell ref="A61:H61"/>
    <mergeCell ref="A69:H69"/>
    <mergeCell ref="J53:T53"/>
    <mergeCell ref="A37:H37"/>
    <mergeCell ref="J65:T65"/>
    <mergeCell ref="A21:H21"/>
    <mergeCell ref="J35:T35"/>
    <mergeCell ref="J11:T11"/>
    <mergeCell ref="A85:H85"/>
    <mergeCell ref="J41:T41"/>
    <mergeCell ref="A5:H5"/>
    <mergeCell ref="A1:H2"/>
    <mergeCell ref="A53:H53"/>
    <mergeCell ref="J47:T47"/>
    <mergeCell ref="A29:H29"/>
    <mergeCell ref="A13:H13"/>
    <mergeCell ref="J71:T71"/>
    <mergeCell ref="A93:H93"/>
  </mergeCells>
  <conditionalFormatting sqref="J6:S9">
    <cfRule type="expression" priority="1" dxfId="0" stopIfTrue="1">
      <formula>=OR($T6&gt;=LARGE($T$6:$T$9,2), AND($T6=LARGE($T$6:$T$9,3), $T6&gt;=LARGE(Backend!$E$2:$E$13,8)))</formula>
    </cfRule>
  </conditionalFormatting>
  <conditionalFormatting sqref="J12:S15">
    <cfRule type="expression" priority="2" dxfId="0" stopIfTrue="1">
      <formula>=OR($T12&gt;=LARGE($T$12:$T$15,2), AND($T12=LARGE($T$12:$T$15,3), $T12&gt;=LARGE(Backend!$E$2:$E$13,8)))</formula>
    </cfRule>
  </conditionalFormatting>
  <conditionalFormatting sqref="J18:S21">
    <cfRule type="expression" priority="3" dxfId="0" stopIfTrue="1">
      <formula>=OR($T18&gt;=LARGE($T$18:$T$21,2), AND($T18=LARGE($T$18:$T$21,3), $T18&gt;=LARGE(Backend!$E$2:$E$13,8)))</formula>
    </cfRule>
  </conditionalFormatting>
  <conditionalFormatting sqref="J24:S27">
    <cfRule type="expression" priority="4" dxfId="0" stopIfTrue="1">
      <formula>=OR($T24&gt;=LARGE($T$24:$T$27,2), AND($T24=LARGE($T$24:$T$27,3), $T24&gt;=LARGE(Backend!$E$2:$E$13,8)))</formula>
    </cfRule>
  </conditionalFormatting>
  <conditionalFormatting sqref="J30:S33">
    <cfRule type="expression" priority="5" dxfId="0" stopIfTrue="1">
      <formula>=OR($T30&gt;=LARGE($T$30:$T$33,2), AND($T30=LARGE($T$30:$T$33,3), $T30&gt;=LARGE(Backend!$E$2:$E$13,8)))</formula>
    </cfRule>
  </conditionalFormatting>
  <conditionalFormatting sqref="J36:S39">
    <cfRule type="expression" priority="6" dxfId="0" stopIfTrue="1">
      <formula>=OR($T36&gt;=LARGE($T$36:$T$39,2), AND($T36=LARGE($T$36:$T$39,3), $T36&gt;=LARGE(Backend!$E$2:$E$13,8)))</formula>
    </cfRule>
  </conditionalFormatting>
  <conditionalFormatting sqref="J42:S45">
    <cfRule type="expression" priority="7" dxfId="0" stopIfTrue="1">
      <formula>=OR($T42&gt;=LARGE($T$42:$T$45,2), AND($T42=LARGE($T$42:$T$45,3), $T42&gt;=LARGE(Backend!$E$2:$E$13,8)))</formula>
    </cfRule>
  </conditionalFormatting>
  <conditionalFormatting sqref="J48:S51">
    <cfRule type="expression" priority="8" dxfId="0" stopIfTrue="1">
      <formula>=OR($T48&gt;=LARGE($T$48:$T$51,2), AND($T48=LARGE($T$48:$T$51,3), $T48&gt;=LARGE(Backend!$E$2:$E$13,8)))</formula>
    </cfRule>
  </conditionalFormatting>
  <conditionalFormatting sqref="J54:S57">
    <cfRule type="expression" priority="9" dxfId="0" stopIfTrue="1">
      <formula>=OR($T54&gt;=LARGE($T$54:$T$57,2), AND($T54=LARGE($T$54:$T$57,3), $T54&gt;=LARGE(Backend!$E$2:$E$13,8)))</formula>
    </cfRule>
  </conditionalFormatting>
  <conditionalFormatting sqref="J60:S63">
    <cfRule type="expression" priority="10" dxfId="0" stopIfTrue="1">
      <formula>=OR($T60&gt;=LARGE($T$60:$T$63,2), AND($T60=LARGE($T$60:$T$63,3), $T60&gt;=LARGE(Backend!$E$2:$E$13,8)))</formula>
    </cfRule>
  </conditionalFormatting>
  <conditionalFormatting sqref="J66:S69">
    <cfRule type="expression" priority="11" dxfId="0" stopIfTrue="1">
      <formula>=OR($T66&gt;=LARGE($T$66:$T$69,2), AND($T66=LARGE($T$66:$T$69,3), $T66&gt;=LARGE(Backend!$E$2:$E$13,8)))</formula>
    </cfRule>
  </conditionalFormatting>
  <conditionalFormatting sqref="J72:S75">
    <cfRule type="expression" priority="12" dxfId="0" stopIfTrue="1">
      <formula>=OR($T72&gt;=LARGE($T$72:$T$75,2), AND($T72=LARGE($T$72:$T$75,3), $T72&gt;=LARGE(Backend!$E$2:$E$13,8)))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style="10" min="1" max="1"/>
    <col width="12" customWidth="1" style="10" min="2" max="2"/>
    <col width="12" customWidth="1" style="10" min="3" max="3"/>
    <col width="25" customWidth="1" style="10" min="4" max="4"/>
    <col width="10" customWidth="1" style="10" min="5" max="5"/>
    <col width="10" customWidth="1" style="10" min="6" max="6"/>
    <col width="25" customWidth="1" style="10" min="7" max="7"/>
  </cols>
  <sheetData>
    <row r="2">
      <c r="B2" s="23" t="inlineStr">
        <is>
          <t>RANKING DE MEJORES TERCEROS LUGARES</t>
        </is>
      </c>
    </row>
    <row r="3"/>
    <row r="5">
      <c r="B5" s="24" t="inlineStr">
        <is>
          <t>Posición</t>
        </is>
      </c>
      <c r="C5" s="24" t="inlineStr">
        <is>
          <t>Grupo</t>
        </is>
      </c>
      <c r="D5" s="24" t="inlineStr">
        <is>
          <t>Equipo</t>
        </is>
      </c>
      <c r="E5" s="24" t="inlineStr">
        <is>
          <t>PTS</t>
        </is>
      </c>
      <c r="F5" s="24" t="inlineStr">
        <is>
          <t>DIF</t>
        </is>
      </c>
      <c r="G5" s="24" t="inlineStr">
        <is>
          <t>Clasifica a 16avos</t>
        </is>
      </c>
    </row>
    <row r="6">
      <c r="B6" s="25" t="n">
        <v>1</v>
      </c>
      <c r="C6" s="25">
        <f>Backend!B16</f>
        <v/>
      </c>
      <c r="D6" s="26">
        <f>Backend!C16</f>
        <v/>
      </c>
      <c r="E6" s="25">
        <f>IF(D6="","",VLOOKUP(D6, Grupos!$K$6:$S$77, 9, FALSE))</f>
        <v/>
      </c>
      <c r="F6" s="25">
        <f>IF(D6="","",VLOOKUP(D6, Grupos!$K$6:$R$77, 8, FALSE))</f>
        <v/>
      </c>
      <c r="G6" s="27">
        <f>IF(Backend!C16="","",IF(1&lt;=8, "✅ Avanza", "❌ Eliminado"))</f>
        <v/>
      </c>
    </row>
    <row r="7">
      <c r="B7" s="28" t="n">
        <v>2</v>
      </c>
      <c r="C7" s="28">
        <f>Backend!B17</f>
        <v/>
      </c>
      <c r="D7" s="29">
        <f>Backend!C17</f>
        <v/>
      </c>
      <c r="E7" s="28">
        <f>IF(D7="","",VLOOKUP(D7, Grupos!$K$6:$S$77, 9, FALSE))</f>
        <v/>
      </c>
      <c r="F7" s="28">
        <f>IF(D7="","",VLOOKUP(D7, Grupos!$K$6:$R$77, 8, FALSE))</f>
        <v/>
      </c>
      <c r="G7" s="27">
        <f>IF(Backend!C17="","",IF(2&lt;=8, "✅ Avanza", "❌ Eliminado"))</f>
        <v/>
      </c>
    </row>
    <row r="8">
      <c r="B8" s="25" t="n">
        <v>3</v>
      </c>
      <c r="C8" s="25">
        <f>Backend!B18</f>
        <v/>
      </c>
      <c r="D8" s="26">
        <f>Backend!C18</f>
        <v/>
      </c>
      <c r="E8" s="25">
        <f>IF(D8="","",VLOOKUP(D8, Grupos!$K$6:$S$77, 9, FALSE))</f>
        <v/>
      </c>
      <c r="F8" s="25">
        <f>IF(D8="","",VLOOKUP(D8, Grupos!$K$6:$R$77, 8, FALSE))</f>
        <v/>
      </c>
      <c r="G8" s="27">
        <f>IF(Backend!C18="","",IF(3&lt;=8, "✅ Avanza", "❌ Eliminado"))</f>
        <v/>
      </c>
    </row>
    <row r="9">
      <c r="B9" s="28" t="n">
        <v>4</v>
      </c>
      <c r="C9" s="28">
        <f>Backend!B19</f>
        <v/>
      </c>
      <c r="D9" s="29">
        <f>Backend!C19</f>
        <v/>
      </c>
      <c r="E9" s="28">
        <f>IF(D9="","",VLOOKUP(D9, Grupos!$K$6:$S$77, 9, FALSE))</f>
        <v/>
      </c>
      <c r="F9" s="28">
        <f>IF(D9="","",VLOOKUP(D9, Grupos!$K$6:$R$77, 8, FALSE))</f>
        <v/>
      </c>
      <c r="G9" s="27">
        <f>IF(Backend!C19="","",IF(4&lt;=8, "✅ Avanza", "❌ Eliminado"))</f>
        <v/>
      </c>
    </row>
    <row r="10">
      <c r="B10" s="25" t="n">
        <v>5</v>
      </c>
      <c r="C10" s="25">
        <f>Backend!B20</f>
        <v/>
      </c>
      <c r="D10" s="26">
        <f>Backend!C20</f>
        <v/>
      </c>
      <c r="E10" s="25">
        <f>IF(D10="","",VLOOKUP(D10, Grupos!$K$6:$S$77, 9, FALSE))</f>
        <v/>
      </c>
      <c r="F10" s="25">
        <f>IF(D10="","",VLOOKUP(D10, Grupos!$K$6:$R$77, 8, FALSE))</f>
        <v/>
      </c>
      <c r="G10" s="27">
        <f>IF(Backend!C20="","",IF(5&lt;=8, "✅ Avanza", "❌ Eliminado"))</f>
        <v/>
      </c>
    </row>
    <row r="11">
      <c r="B11" s="28" t="n">
        <v>6</v>
      </c>
      <c r="C11" s="28">
        <f>Backend!B21</f>
        <v/>
      </c>
      <c r="D11" s="29">
        <f>Backend!C21</f>
        <v/>
      </c>
      <c r="E11" s="28">
        <f>IF(D11="","",VLOOKUP(D11, Grupos!$K$6:$S$77, 9, FALSE))</f>
        <v/>
      </c>
      <c r="F11" s="28">
        <f>IF(D11="","",VLOOKUP(D11, Grupos!$K$6:$R$77, 8, FALSE))</f>
        <v/>
      </c>
      <c r="G11" s="27">
        <f>IF(Backend!C21="","",IF(6&lt;=8, "✅ Avanza", "❌ Eliminado"))</f>
        <v/>
      </c>
    </row>
    <row r="12">
      <c r="B12" s="25" t="n">
        <v>7</v>
      </c>
      <c r="C12" s="25">
        <f>Backend!B22</f>
        <v/>
      </c>
      <c r="D12" s="26">
        <f>Backend!C22</f>
        <v/>
      </c>
      <c r="E12" s="25">
        <f>IF(D12="","",VLOOKUP(D12, Grupos!$K$6:$S$77, 9, FALSE))</f>
        <v/>
      </c>
      <c r="F12" s="25">
        <f>IF(D12="","",VLOOKUP(D12, Grupos!$K$6:$R$77, 8, FALSE))</f>
        <v/>
      </c>
      <c r="G12" s="27">
        <f>IF(Backend!C22="","",IF(7&lt;=8, "✅ Avanza", "❌ Eliminado"))</f>
        <v/>
      </c>
    </row>
    <row r="13">
      <c r="B13" s="28" t="n">
        <v>8</v>
      </c>
      <c r="C13" s="28">
        <f>Backend!B23</f>
        <v/>
      </c>
      <c r="D13" s="29">
        <f>Backend!C23</f>
        <v/>
      </c>
      <c r="E13" s="28">
        <f>IF(D13="","",VLOOKUP(D13, Grupos!$K$6:$S$77, 9, FALSE))</f>
        <v/>
      </c>
      <c r="F13" s="28">
        <f>IF(D13="","",VLOOKUP(D13, Grupos!$K$6:$R$77, 8, FALSE))</f>
        <v/>
      </c>
      <c r="G13" s="27">
        <f>IF(Backend!C23="","",IF(8&lt;=8, "✅ Avanza", "❌ Eliminado"))</f>
        <v/>
      </c>
    </row>
    <row r="14">
      <c r="B14" s="25" t="n">
        <v>9</v>
      </c>
      <c r="C14" s="25">
        <f>Backend!B24</f>
        <v/>
      </c>
      <c r="D14" s="26">
        <f>Backend!C24</f>
        <v/>
      </c>
      <c r="E14" s="25">
        <f>IF(D14="","",VLOOKUP(D14, Grupos!$K$6:$S$77, 9, FALSE))</f>
        <v/>
      </c>
      <c r="F14" s="25">
        <f>IF(D14="","",VLOOKUP(D14, Grupos!$K$6:$R$77, 8, FALSE))</f>
        <v/>
      </c>
      <c r="G14" s="30">
        <f>IF(Backend!C24="","",IF(9&lt;=8, "✅ Avanza", "❌ Eliminado"))</f>
        <v/>
      </c>
    </row>
    <row r="15">
      <c r="B15" s="28" t="n">
        <v>10</v>
      </c>
      <c r="C15" s="28">
        <f>Backend!B25</f>
        <v/>
      </c>
      <c r="D15" s="29">
        <f>Backend!C25</f>
        <v/>
      </c>
      <c r="E15" s="28">
        <f>IF(D15="","",VLOOKUP(D15, Grupos!$K$6:$S$77, 9, FALSE))</f>
        <v/>
      </c>
      <c r="F15" s="28">
        <f>IF(D15="","",VLOOKUP(D15, Grupos!$K$6:$R$77, 8, FALSE))</f>
        <v/>
      </c>
      <c r="G15" s="30">
        <f>IF(Backend!C25="","",IF(10&lt;=8, "✅ Avanza", "❌ Eliminado"))</f>
        <v/>
      </c>
    </row>
    <row r="16">
      <c r="B16" s="25" t="n">
        <v>11</v>
      </c>
      <c r="C16" s="25">
        <f>Backend!B26</f>
        <v/>
      </c>
      <c r="D16" s="26">
        <f>Backend!C26</f>
        <v/>
      </c>
      <c r="E16" s="25">
        <f>IF(D16="","",VLOOKUP(D16, Grupos!$K$6:$S$77, 9, FALSE))</f>
        <v/>
      </c>
      <c r="F16" s="25">
        <f>IF(D16="","",VLOOKUP(D16, Grupos!$K$6:$R$77, 8, FALSE))</f>
        <v/>
      </c>
      <c r="G16" s="30">
        <f>IF(Backend!C26="","",IF(11&lt;=8, "✅ Avanza", "❌ Eliminado"))</f>
        <v/>
      </c>
    </row>
    <row r="17">
      <c r="B17" s="28" t="n">
        <v>12</v>
      </c>
      <c r="C17" s="28">
        <f>Backend!B27</f>
        <v/>
      </c>
      <c r="D17" s="29">
        <f>Backend!C27</f>
        <v/>
      </c>
      <c r="E17" s="28">
        <f>IF(D17="","",VLOOKUP(D17, Grupos!$K$6:$S$77, 9, FALSE))</f>
        <v/>
      </c>
      <c r="F17" s="28">
        <f>IF(D17="","",VLOOKUP(D17, Grupos!$K$6:$R$77, 8, FALSE))</f>
        <v/>
      </c>
      <c r="G17" s="30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INDEX(Grupos!$K$6:$K$9, MATCH(LARGE(Grupos!$T$6:$T$9, 1), Grupos!$T$6:$T$9, 0))</f>
        <v/>
      </c>
      <c r="C2">
        <f>INDEX(Grupos!$K$6:$K$9, MATCH(LARGE(Grupos!$T$6:$T$9, 2), Grupos!$T$6:$T$9, 0))</f>
        <v/>
      </c>
      <c r="D2">
        <f>INDEX(Grupos!$K$6:$K$9, MATCH(LARGE(Grupos!$T$6:$T$9, 3), Grupos!$T$6:$T$9, 0))</f>
        <v/>
      </c>
      <c r="E2">
        <f>LARGE(Grupos!$T$6:$T$9, 3)</f>
        <v/>
      </c>
    </row>
    <row r="3">
      <c r="A3" t="inlineStr">
        <is>
          <t>B</t>
        </is>
      </c>
      <c r="B3">
        <f>INDEX(Grupos!$K$12:$K$15, MATCH(LARGE(Grupos!$T$12:$T$15, 1), Grupos!$T$12:$T$15, 0))</f>
        <v/>
      </c>
      <c r="C3">
        <f>INDEX(Grupos!$K$12:$K$15, MATCH(LARGE(Grupos!$T$12:$T$15, 2), Grupos!$T$12:$T$15, 0))</f>
        <v/>
      </c>
      <c r="D3">
        <f>INDEX(Grupos!$K$12:$K$15, MATCH(LARGE(Grupos!$T$12:$T$15, 3), Grupos!$T$12:$T$15, 0))</f>
        <v/>
      </c>
      <c r="E3">
        <f>LARGE(Grupos!$T$12:$T$15, 3)</f>
        <v/>
      </c>
    </row>
    <row r="4">
      <c r="A4" t="inlineStr">
        <is>
          <t>C</t>
        </is>
      </c>
      <c r="B4">
        <f>INDEX(Grupos!$K$18:$K$21, MATCH(LARGE(Grupos!$T$18:$T$21, 1), Grupos!$T$18:$T$21, 0))</f>
        <v/>
      </c>
      <c r="C4">
        <f>INDEX(Grupos!$K$18:$K$21, MATCH(LARGE(Grupos!$T$18:$T$21, 2), Grupos!$T$18:$T$21, 0))</f>
        <v/>
      </c>
      <c r="D4">
        <f>INDEX(Grupos!$K$18:$K$21, MATCH(LARGE(Grupos!$T$18:$T$21, 3), Grupos!$T$18:$T$21, 0))</f>
        <v/>
      </c>
      <c r="E4">
        <f>LARGE(Grupos!$T$18:$T$21, 3)</f>
        <v/>
      </c>
    </row>
    <row r="5">
      <c r="A5" t="inlineStr">
        <is>
          <t>D</t>
        </is>
      </c>
      <c r="B5">
        <f>INDEX(Grupos!$K$24:$K$27, MATCH(LARGE(Grupos!$T$24:$T$27, 1), Grupos!$T$24:$T$27, 0))</f>
        <v/>
      </c>
      <c r="C5">
        <f>INDEX(Grupos!$K$24:$K$27, MATCH(LARGE(Grupos!$T$24:$T$27, 2), Grupos!$T$24:$T$27, 0))</f>
        <v/>
      </c>
      <c r="D5">
        <f>INDEX(Grupos!$K$24:$K$27, MATCH(LARGE(Grupos!$T$24:$T$27, 3), Grupos!$T$24:$T$27, 0))</f>
        <v/>
      </c>
      <c r="E5">
        <f>LARGE(Grupos!$T$24:$T$27, 3)</f>
        <v/>
      </c>
    </row>
    <row r="6">
      <c r="A6" t="inlineStr">
        <is>
          <t>E</t>
        </is>
      </c>
      <c r="B6">
        <f>INDEX(Grupos!$K$30:$K$33, MATCH(LARGE(Grupos!$T$30:$T$33, 1), Grupos!$T$30:$T$33, 0))</f>
        <v/>
      </c>
      <c r="C6">
        <f>INDEX(Grupos!$K$30:$K$33, MATCH(LARGE(Grupos!$T$30:$T$33, 2), Grupos!$T$30:$T$33, 0))</f>
        <v/>
      </c>
      <c r="D6">
        <f>INDEX(Grupos!$K$30:$K$33, MATCH(LARGE(Grupos!$T$30:$T$33, 3), Grupos!$T$30:$T$33, 0))</f>
        <v/>
      </c>
      <c r="E6">
        <f>LARGE(Grupos!$T$30:$T$33, 3)</f>
        <v/>
      </c>
    </row>
    <row r="7">
      <c r="A7" t="inlineStr">
        <is>
          <t>F</t>
        </is>
      </c>
      <c r="B7">
        <f>INDEX(Grupos!$K$36:$K$39, MATCH(LARGE(Grupos!$T$36:$T$39, 1), Grupos!$T$36:$T$39, 0))</f>
        <v/>
      </c>
      <c r="C7">
        <f>INDEX(Grupos!$K$36:$K$39, MATCH(LARGE(Grupos!$T$36:$T$39, 2), Grupos!$T$36:$T$39, 0))</f>
        <v/>
      </c>
      <c r="D7">
        <f>INDEX(Grupos!$K$36:$K$39, MATCH(LARGE(Grupos!$T$36:$T$39, 3), Grupos!$T$36:$T$39, 0))</f>
        <v/>
      </c>
      <c r="E7">
        <f>LARGE(Grupos!$T$36:$T$39, 3)</f>
        <v/>
      </c>
    </row>
    <row r="8">
      <c r="A8" t="inlineStr">
        <is>
          <t>G</t>
        </is>
      </c>
      <c r="B8">
        <f>INDEX(Grupos!$K$42:$K$45, MATCH(LARGE(Grupos!$T$42:$T$45, 1), Grupos!$T$42:$T$45, 0))</f>
        <v/>
      </c>
      <c r="C8">
        <f>INDEX(Grupos!$K$42:$K$45, MATCH(LARGE(Grupos!$T$42:$T$45, 2), Grupos!$T$42:$T$45, 0))</f>
        <v/>
      </c>
      <c r="D8">
        <f>INDEX(Grupos!$K$42:$K$45, MATCH(LARGE(Grupos!$T$42:$T$45, 3), Grupos!$T$42:$T$45, 0))</f>
        <v/>
      </c>
      <c r="E8">
        <f>LARGE(Grupos!$T$42:$T$45, 3)</f>
        <v/>
      </c>
    </row>
    <row r="9">
      <c r="A9" t="inlineStr">
        <is>
          <t>H</t>
        </is>
      </c>
      <c r="B9">
        <f>INDEX(Grupos!$K$48:$K$51, MATCH(LARGE(Grupos!$T$48:$T$51, 1), Grupos!$T$48:$T$51, 0))</f>
        <v/>
      </c>
      <c r="C9">
        <f>INDEX(Grupos!$K$48:$K$51, MATCH(LARGE(Grupos!$T$48:$T$51, 2), Grupos!$T$48:$T$51, 0))</f>
        <v/>
      </c>
      <c r="D9">
        <f>INDEX(Grupos!$K$48:$K$51, MATCH(LARGE(Grupos!$T$48:$T$51, 3), Grupos!$T$48:$T$51, 0))</f>
        <v/>
      </c>
      <c r="E9">
        <f>LARGE(Grupos!$T$48:$T$51, 3)</f>
        <v/>
      </c>
    </row>
    <row r="10">
      <c r="A10" t="inlineStr">
        <is>
          <t>I</t>
        </is>
      </c>
      <c r="B10">
        <f>INDEX(Grupos!$K$54:$K$57, MATCH(LARGE(Grupos!$T$54:$T$57, 1), Grupos!$T$54:$T$57, 0))</f>
        <v/>
      </c>
      <c r="C10">
        <f>INDEX(Grupos!$K$54:$K$57, MATCH(LARGE(Grupos!$T$54:$T$57, 2), Grupos!$T$54:$T$57, 0))</f>
        <v/>
      </c>
      <c r="D10">
        <f>INDEX(Grupos!$K$54:$K$57, MATCH(LARGE(Grupos!$T$54:$T$57, 3), Grupos!$T$54:$T$57, 0))</f>
        <v/>
      </c>
      <c r="E10">
        <f>LARGE(Grupos!$T$54:$T$57, 3)</f>
        <v/>
      </c>
    </row>
    <row r="11">
      <c r="A11" t="inlineStr">
        <is>
          <t>J</t>
        </is>
      </c>
      <c r="B11">
        <f>INDEX(Grupos!$K$60:$K$63, MATCH(LARGE(Grupos!$T$60:$T$63, 1), Grupos!$T$60:$T$63, 0))</f>
        <v/>
      </c>
      <c r="C11">
        <f>INDEX(Grupos!$K$60:$K$63, MATCH(LARGE(Grupos!$T$60:$T$63, 2), Grupos!$T$60:$T$63, 0))</f>
        <v/>
      </c>
      <c r="D11">
        <f>INDEX(Grupos!$K$60:$K$63, MATCH(LARGE(Grupos!$T$60:$T$63, 3), Grupos!$T$60:$T$63, 0))</f>
        <v/>
      </c>
      <c r="E11">
        <f>LARGE(Grupos!$T$60:$T$63, 3)</f>
        <v/>
      </c>
    </row>
    <row r="12">
      <c r="A12" t="inlineStr">
        <is>
          <t>K</t>
        </is>
      </c>
      <c r="B12">
        <f>INDEX(Grupos!$K$66:$K$69, MATCH(LARGE(Grupos!$T$66:$T$69, 1), Grupos!$T$66:$T$69, 0))</f>
        <v/>
      </c>
      <c r="C12">
        <f>INDEX(Grupos!$K$66:$K$69, MATCH(LARGE(Grupos!$T$66:$T$69, 2), Grupos!$T$66:$T$69, 0))</f>
        <v/>
      </c>
      <c r="D12">
        <f>INDEX(Grupos!$K$66:$K$69, MATCH(LARGE(Grupos!$T$66:$T$69, 3), Grupos!$T$66:$T$69, 0))</f>
        <v/>
      </c>
      <c r="E12">
        <f>LARGE(Grupos!$T$66:$T$69, 3)</f>
        <v/>
      </c>
    </row>
    <row r="13">
      <c r="A13" t="inlineStr">
        <is>
          <t>L</t>
        </is>
      </c>
      <c r="B13">
        <f>INDEX(Grupos!$K$72:$K$75, MATCH(LARGE(Grupos!$T$72:$T$75, 1), Grupos!$T$72:$T$75, 0))</f>
        <v/>
      </c>
      <c r="C13">
        <f>INDEX(Grupos!$K$72:$K$75, MATCH(LARGE(Grupos!$T$72:$T$75, 2), Grupos!$T$72:$T$75, 0))</f>
        <v/>
      </c>
      <c r="D13">
        <f>INDEX(Grupos!$K$72:$K$75, MATCH(LARGE(Grupos!$T$72:$T$75, 3), Grupos!$T$72:$T$75, 0))</f>
        <v/>
      </c>
      <c r="E13">
        <f>LARGE(Grupos!$T$72:$T$75,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topLeftCell="A35" workbookViewId="0">
      <selection activeCell="B6" sqref="B6"/>
    </sheetView>
  </sheetViews>
  <sheetFormatPr baseColWidth="10" defaultColWidth="9.140625" defaultRowHeight="15"/>
  <cols>
    <col width="20" customWidth="1" style="10" min="2" max="2"/>
    <col width="9.140625" customWidth="1" style="16" min="3" max="3"/>
    <col width="9.140625" customWidth="1" style="16" min="5" max="5"/>
    <col width="20" customWidth="1" style="10" min="6" max="7"/>
  </cols>
  <sheetData>
    <row r="1">
      <c r="A1" s="18" t="inlineStr">
        <is>
          <t>FASE FINAL (ELIMINACIÓN DIRECTA)</t>
        </is>
      </c>
    </row>
    <row r="2"/>
    <row r="4" ht="18.75" customHeight="1" s="10">
      <c r="A4" s="20" t="inlineStr">
        <is>
          <t>DIECISEISAVOS DE FINAL (Ronda de 32)</t>
        </is>
      </c>
    </row>
    <row r="5" ht="16.5" customHeight="1" s="10">
      <c r="A5" s="13" t="inlineStr">
        <is>
          <t>Partido</t>
        </is>
      </c>
      <c r="B5" s="13" t="inlineStr">
        <is>
          <t>Equipo A</t>
        </is>
      </c>
      <c r="C5" s="13" t="inlineStr">
        <is>
          <t>Goles</t>
        </is>
      </c>
      <c r="D5" s="13" t="inlineStr">
        <is>
          <t>vs</t>
        </is>
      </c>
      <c r="E5" s="13" t="inlineStr">
        <is>
          <t>Goles</t>
        </is>
      </c>
      <c r="F5" s="13" t="inlineStr">
        <is>
          <t>Equipo B</t>
        </is>
      </c>
      <c r="G5" s="13" t="inlineStr">
        <is>
          <t>Clasifica</t>
        </is>
      </c>
      <c r="H5" s="13" t="inlineStr">
        <is>
          <t>Estado</t>
        </is>
      </c>
    </row>
    <row r="6">
      <c r="A6" s="5" t="inlineStr">
        <is>
          <t>1/16 - P1</t>
        </is>
      </c>
      <c r="B6">
        <f>Backend!C2</f>
        <v/>
      </c>
      <c r="C6" s="15" t="n">
        <v>1</v>
      </c>
      <c r="D6" s="5" t="inlineStr">
        <is>
          <t>-</t>
        </is>
      </c>
      <c r="E6" s="15" t="n">
        <v>2</v>
      </c>
      <c r="F6">
        <f>Backend!C3</f>
        <v/>
      </c>
      <c r="G6">
        <f>IF(AND(ISNUMBER(C6),ISNUMBER(E6)),IF(C6&gt;E6,B6,F6),"")</f>
        <v/>
      </c>
    </row>
    <row r="7">
      <c r="A7" s="5" t="inlineStr">
        <is>
          <t>1/16 - P2</t>
        </is>
      </c>
      <c r="B7">
        <f>Backend!B7</f>
        <v/>
      </c>
      <c r="C7" s="15" t="n">
        <v>1</v>
      </c>
      <c r="D7" s="5" t="inlineStr">
        <is>
          <t>-</t>
        </is>
      </c>
      <c r="E7" s="15" t="n">
        <v>3</v>
      </c>
      <c r="F7">
        <f>Backend!C4</f>
        <v/>
      </c>
      <c r="G7">
        <f>IF(AND(ISNUMBER(C7),ISNUMBER(E7)),IF(C7&gt;E7,B7,F7),"")</f>
        <v/>
      </c>
    </row>
    <row r="8">
      <c r="A8" s="5" t="inlineStr">
        <is>
          <t>1/16 - P3</t>
        </is>
      </c>
      <c r="B8">
        <f>Backend!B6</f>
        <v/>
      </c>
      <c r="C8" s="15" t="n">
        <v>2</v>
      </c>
      <c r="D8" s="5" t="inlineStr">
        <is>
          <t>-</t>
        </is>
      </c>
      <c r="E8" s="15" t="n">
        <v>3</v>
      </c>
      <c r="F8">
        <f>INDEX(Backend!$C$16:$C$23, MATCH(VLOOKUP(Backend!$D$29, MatrizTerceros!$A$1:$I$495, 5, FALSE), Backend!$B$16:$B$23, 0))</f>
        <v/>
      </c>
      <c r="G8">
        <f>IF(AND(ISNUMBER(C8),ISNUMBER(E8)),IF(C8&gt;E8,B8,F8),"")</f>
        <v/>
      </c>
    </row>
    <row r="9">
      <c r="A9" s="5" t="inlineStr">
        <is>
          <t>1/16 - P4</t>
        </is>
      </c>
      <c r="B9">
        <f>Backend!B10</f>
        <v/>
      </c>
      <c r="C9" s="15" t="n">
        <v>3</v>
      </c>
      <c r="D9" s="5" t="inlineStr">
        <is>
          <t>-</t>
        </is>
      </c>
      <c r="E9" s="15" t="n">
        <v>3</v>
      </c>
      <c r="F9">
        <f>INDEX(Backend!$C$16:$C$23, MATCH(VLOOKUP(Backend!$D$29, MatrizTerceros!$A$1:$I$495, 7, FALSE), Backend!$B$16:$B$23, 0))</f>
        <v/>
      </c>
      <c r="G9">
        <f>IF(AND(ISNUMBER(C9),ISNUMBER(E9)),IF(C9&gt;E9,B9,F9),"")</f>
        <v/>
      </c>
    </row>
    <row r="10">
      <c r="A10" s="5" t="inlineStr">
        <is>
          <t>1/16 - P5</t>
        </is>
      </c>
      <c r="B10">
        <f>Backend!B4</f>
        <v/>
      </c>
      <c r="C10" s="15" t="n">
        <v>1</v>
      </c>
      <c r="D10" s="5" t="inlineStr">
        <is>
          <t>-</t>
        </is>
      </c>
      <c r="E10" s="15" t="n">
        <v>3</v>
      </c>
      <c r="F10">
        <f>Backend!C7</f>
        <v/>
      </c>
      <c r="G10">
        <f>IF(AND(ISNUMBER(C10),ISNUMBER(E10)),IF(C10&gt;E10,B10,F10),"")</f>
        <v/>
      </c>
    </row>
    <row r="11">
      <c r="A11" s="5" t="inlineStr">
        <is>
          <t>1/16 - P6</t>
        </is>
      </c>
      <c r="B11">
        <f>Backend!C6</f>
        <v/>
      </c>
      <c r="C11" s="15" t="n">
        <v>2</v>
      </c>
      <c r="D11" s="5" t="inlineStr">
        <is>
          <t>-</t>
        </is>
      </c>
      <c r="E11" s="15" t="n">
        <v>3</v>
      </c>
      <c r="F11">
        <f>Backend!C10</f>
        <v/>
      </c>
      <c r="G11">
        <f>IF(AND(ISNUMBER(C11),ISNUMBER(E11)),IF(C11&gt;E11,B11,F11),"")</f>
        <v/>
      </c>
    </row>
    <row r="12">
      <c r="A12" s="5" t="inlineStr">
        <is>
          <t>1/16 - P7</t>
        </is>
      </c>
      <c r="B12">
        <f>Backend!B2</f>
        <v/>
      </c>
      <c r="C12" s="15" t="n">
        <v>3</v>
      </c>
      <c r="D12" s="5" t="inlineStr">
        <is>
          <t>-</t>
        </is>
      </c>
      <c r="E12" s="15" t="n">
        <v>0</v>
      </c>
      <c r="F12">
        <f>INDEX(Backend!$C$16:$C$23, MATCH(VLOOKUP(Backend!$D$29, MatrizTerceros!$A$1:$I$495, 2, FALSE), Backend!$B$16:$B$23, 0))</f>
        <v/>
      </c>
      <c r="G12">
        <f>IF(AND(ISNUMBER(C12),ISNUMBER(E12)),IF(C12&gt;E12,B12,F12),"")</f>
        <v/>
      </c>
    </row>
    <row r="13">
      <c r="A13" s="5" t="inlineStr">
        <is>
          <t>1/16 - P8</t>
        </is>
      </c>
      <c r="B13">
        <f>Backend!B13</f>
        <v/>
      </c>
      <c r="C13" s="15" t="n">
        <v>1</v>
      </c>
      <c r="D13" s="5" t="inlineStr">
        <is>
          <t>-</t>
        </is>
      </c>
      <c r="E13" s="15" t="n">
        <v>3</v>
      </c>
      <c r="F13">
        <f>INDEX(Backend!$C$16:$C$23, MATCH(VLOOKUP(Backend!$D$29, MatrizTerceros!$A$1:$I$495, 9, FALSE), Backend!$B$16:$B$23, 0))</f>
        <v/>
      </c>
      <c r="G13">
        <f>IF(AND(ISNUMBER(C13),ISNUMBER(E13)),IF(C13&gt;E13,B13,F13),"")</f>
        <v/>
      </c>
    </row>
    <row r="14">
      <c r="A14" s="5" t="inlineStr">
        <is>
          <t>1/16 - P9</t>
        </is>
      </c>
      <c r="B14">
        <f>Backend!B5</f>
        <v/>
      </c>
      <c r="C14" s="15" t="n">
        <v>0</v>
      </c>
      <c r="D14" s="5" t="inlineStr">
        <is>
          <t>-</t>
        </is>
      </c>
      <c r="E14" s="15" t="n">
        <v>2</v>
      </c>
      <c r="F14">
        <f>INDEX(Backend!$C$16:$C$23, MATCH(VLOOKUP(Backend!$D$29, MatrizTerceros!$A$1:$I$495, 4, FALSE), Backend!$B$16:$B$23, 0))</f>
        <v/>
      </c>
      <c r="G14">
        <f>IF(AND(ISNUMBER(C14),ISNUMBER(E14)),IF(C14&gt;E14,B14,F14),"")</f>
        <v/>
      </c>
    </row>
    <row r="15">
      <c r="A15" s="5" t="inlineStr">
        <is>
          <t>1/16 - P10</t>
        </is>
      </c>
      <c r="B15">
        <f>Backend!B8</f>
        <v/>
      </c>
      <c r="C15" s="15" t="n">
        <v>2</v>
      </c>
      <c r="D15" s="5" t="inlineStr">
        <is>
          <t>-</t>
        </is>
      </c>
      <c r="E15" s="15" t="n">
        <v>2</v>
      </c>
      <c r="F15">
        <f>INDEX(Backend!$C$16:$C$23, MATCH(VLOOKUP(Backend!$D$29, MatrizTerceros!$A$1:$I$495, 6, FALSE), Backend!$B$16:$B$23, 0))</f>
        <v/>
      </c>
      <c r="G15">
        <f>IF(AND(ISNUMBER(C15),ISNUMBER(E15)),IF(C15&gt;E15,B15,F15),"")</f>
        <v/>
      </c>
    </row>
    <row r="16">
      <c r="A16" s="5" t="inlineStr">
        <is>
          <t>1/16 - P11</t>
        </is>
      </c>
      <c r="B16">
        <f>Backend!C12</f>
        <v/>
      </c>
      <c r="C16" s="15" t="n">
        <v>1</v>
      </c>
      <c r="D16" s="5" t="inlineStr">
        <is>
          <t>-</t>
        </is>
      </c>
      <c r="E16" s="15" t="n">
        <v>1</v>
      </c>
      <c r="F16">
        <f>Backend!C13</f>
        <v/>
      </c>
      <c r="G16">
        <f>IF(AND(ISNUMBER(C16),ISNUMBER(E16)),IF(C16&gt;E16,B16,F16),"")</f>
        <v/>
      </c>
    </row>
    <row r="17">
      <c r="A17" s="5" t="inlineStr">
        <is>
          <t>1/16 - P12</t>
        </is>
      </c>
      <c r="B17">
        <f>Backend!B9</f>
        <v/>
      </c>
      <c r="C17" s="15" t="n">
        <v>3</v>
      </c>
      <c r="D17" s="5" t="inlineStr">
        <is>
          <t>-</t>
        </is>
      </c>
      <c r="E17" s="15" t="n">
        <v>0</v>
      </c>
      <c r="F17">
        <f>Backend!C11</f>
        <v/>
      </c>
      <c r="G17">
        <f>IF(AND(ISNUMBER(C17),ISNUMBER(E17)),IF(C17&gt;E17,B17,F17),"")</f>
        <v/>
      </c>
    </row>
    <row r="18">
      <c r="A18" s="5" t="inlineStr">
        <is>
          <t>1/16 - P13</t>
        </is>
      </c>
      <c r="B18">
        <f>Backend!B3</f>
        <v/>
      </c>
      <c r="C18" s="15" t="n">
        <v>2</v>
      </c>
      <c r="D18" s="5" t="inlineStr">
        <is>
          <t>-</t>
        </is>
      </c>
      <c r="E18" s="15" t="n">
        <v>0</v>
      </c>
      <c r="F18">
        <f>INDEX(Backend!$C$16:$C$23, MATCH(VLOOKUP(Backend!$D$29, MatrizTerceros!$A$1:$I$495, 3, FALSE), Backend!$B$16:$B$23, 0))</f>
        <v/>
      </c>
      <c r="G18">
        <f>IF(AND(ISNUMBER(C18),ISNUMBER(E18)),IF(C18&gt;E18,B18,F18),"")</f>
        <v/>
      </c>
    </row>
    <row r="19">
      <c r="A19" s="5" t="inlineStr">
        <is>
          <t>1/16 - P14</t>
        </is>
      </c>
      <c r="B19">
        <f>Backend!B12</f>
        <v/>
      </c>
      <c r="C19" s="15" t="n">
        <v>1</v>
      </c>
      <c r="D19" s="5" t="inlineStr">
        <is>
          <t>-</t>
        </is>
      </c>
      <c r="E19" s="15" t="n">
        <v>0</v>
      </c>
      <c r="F19">
        <f>INDEX(Backend!$C$16:$C$23, MATCH(VLOOKUP(Backend!$D$29, MatrizTerceros!$A$1:$I$495, 8, FALSE), Backend!$B$16:$B$23, 0))</f>
        <v/>
      </c>
      <c r="G19">
        <f>IF(AND(ISNUMBER(C19),ISNUMBER(E19)),IF(C19&gt;E19,B19,F19),"")</f>
        <v/>
      </c>
    </row>
    <row r="20">
      <c r="A20" s="5" t="inlineStr">
        <is>
          <t>1/16 - P15</t>
        </is>
      </c>
      <c r="B20">
        <f>Backend!B11</f>
        <v/>
      </c>
      <c r="C20" s="15" t="n">
        <v>1</v>
      </c>
      <c r="D20" s="5" t="inlineStr">
        <is>
          <t>-</t>
        </is>
      </c>
      <c r="E20" s="15" t="n">
        <v>0</v>
      </c>
      <c r="F20">
        <f>Backend!C9</f>
        <v/>
      </c>
      <c r="G20">
        <f>IF(AND(ISNUMBER(C20),ISNUMBER(E20)),IF(C20&gt;E20,B20,F20),"")</f>
        <v/>
      </c>
    </row>
    <row r="21">
      <c r="A21" s="5" t="inlineStr">
        <is>
          <t>1/16 - P16</t>
        </is>
      </c>
      <c r="B21">
        <f>Backend!C5</f>
        <v/>
      </c>
      <c r="C21" s="15" t="n">
        <v>0</v>
      </c>
      <c r="D21" s="5" t="inlineStr">
        <is>
          <t>-</t>
        </is>
      </c>
      <c r="E21" s="15" t="n">
        <v>1</v>
      </c>
      <c r="F21">
        <f>Backend!C8</f>
        <v/>
      </c>
      <c r="G21">
        <f>IF(AND(ISNUMBER(C21),ISNUMBER(E21)),IF(C21&gt;E21,B21,F21),"")</f>
        <v/>
      </c>
    </row>
    <row r="23" ht="18.75" customHeight="1" s="10">
      <c r="A23" s="20" t="inlineStr">
        <is>
          <t>OCTAVOS DE FINAL</t>
        </is>
      </c>
    </row>
    <row r="25">
      <c r="A25" t="inlineStr">
        <is>
          <t>1/8 - P1</t>
        </is>
      </c>
      <c r="B25">
        <f>G6</f>
        <v/>
      </c>
      <c r="C25" s="15" t="n">
        <v>3</v>
      </c>
      <c r="D25" s="5" t="inlineStr">
        <is>
          <t>-</t>
        </is>
      </c>
      <c r="E25" s="15" t="n">
        <v>2</v>
      </c>
      <c r="F25">
        <f>G7</f>
        <v/>
      </c>
      <c r="G25">
        <f>IF(AND(ISNUMBER(C25),ISNUMBER(E25)),IF(C25&gt;E25,B25,F25),"")</f>
        <v/>
      </c>
    </row>
    <row r="26">
      <c r="A26" t="inlineStr">
        <is>
          <t>1/8 - P2</t>
        </is>
      </c>
      <c r="B26">
        <f>G8</f>
        <v/>
      </c>
      <c r="C26" s="15" t="n">
        <v>2</v>
      </c>
      <c r="D26" s="5" t="inlineStr">
        <is>
          <t>-</t>
        </is>
      </c>
      <c r="E26" s="15" t="n">
        <v>1</v>
      </c>
      <c r="F26">
        <f>G9</f>
        <v/>
      </c>
      <c r="G26">
        <f>IF(AND(ISNUMBER(C26),ISNUMBER(E26)),IF(C26&gt;E26,B26,F26),"")</f>
        <v/>
      </c>
    </row>
    <row r="27">
      <c r="A27" t="inlineStr">
        <is>
          <t>1/8 - P3</t>
        </is>
      </c>
      <c r="B27">
        <f>G10</f>
        <v/>
      </c>
      <c r="C27" s="15" t="n">
        <v>3</v>
      </c>
      <c r="D27" s="5" t="inlineStr">
        <is>
          <t>-</t>
        </is>
      </c>
      <c r="E27" s="15" t="n">
        <v>0</v>
      </c>
      <c r="F27">
        <f>G11</f>
        <v/>
      </c>
      <c r="G27">
        <f>IF(AND(ISNUMBER(C27),ISNUMBER(E27)),IF(C27&gt;E27,B27,F27),"")</f>
        <v/>
      </c>
    </row>
    <row r="28">
      <c r="A28" t="inlineStr">
        <is>
          <t>1/8 - P4</t>
        </is>
      </c>
      <c r="B28">
        <f>G12</f>
        <v/>
      </c>
      <c r="C28" s="15" t="n">
        <v>1</v>
      </c>
      <c r="D28" s="5" t="inlineStr">
        <is>
          <t>-</t>
        </is>
      </c>
      <c r="E28" s="15" t="n">
        <v>2</v>
      </c>
      <c r="F28">
        <f>G13</f>
        <v/>
      </c>
      <c r="G28">
        <f>IF(AND(ISNUMBER(C28),ISNUMBER(E28)),IF(C28&gt;E28,B28,F28),"")</f>
        <v/>
      </c>
    </row>
    <row r="29">
      <c r="A29" t="inlineStr">
        <is>
          <t>1/8 - P5</t>
        </is>
      </c>
      <c r="B29">
        <f>G14</f>
        <v/>
      </c>
      <c r="C29" s="15" t="n">
        <v>1</v>
      </c>
      <c r="D29" s="5" t="inlineStr">
        <is>
          <t>-</t>
        </is>
      </c>
      <c r="E29" s="15" t="n">
        <v>0</v>
      </c>
      <c r="F29">
        <f>G15</f>
        <v/>
      </c>
      <c r="G29">
        <f>IF(AND(ISNUMBER(C29),ISNUMBER(E29)),IF(C29&gt;E29,B29,F29),"")</f>
        <v/>
      </c>
    </row>
    <row r="30">
      <c r="A30" t="inlineStr">
        <is>
          <t>1/8 - P6</t>
        </is>
      </c>
      <c r="B30">
        <f>G16</f>
        <v/>
      </c>
      <c r="C30" s="15" t="n">
        <v>1</v>
      </c>
      <c r="D30" s="5" t="inlineStr">
        <is>
          <t>-</t>
        </is>
      </c>
      <c r="E30" s="15" t="n">
        <v>0</v>
      </c>
      <c r="F30">
        <f>G17</f>
        <v/>
      </c>
      <c r="G30">
        <f>IF(AND(ISNUMBER(C30),ISNUMBER(E30)),IF(C30&gt;E30,B30,F30),"")</f>
        <v/>
      </c>
    </row>
    <row r="31">
      <c r="A31" t="inlineStr">
        <is>
          <t>1/8 - P7</t>
        </is>
      </c>
      <c r="B31">
        <f>G18</f>
        <v/>
      </c>
      <c r="C31" s="15" t="n">
        <v>2</v>
      </c>
      <c r="D31" s="5" t="inlineStr">
        <is>
          <t>-</t>
        </is>
      </c>
      <c r="E31" s="15" t="n">
        <v>3</v>
      </c>
      <c r="F31">
        <f>G19</f>
        <v/>
      </c>
      <c r="G31">
        <f>IF(AND(ISNUMBER(C31),ISNUMBER(E31)),IF(C31&gt;E31,B31,F31),"")</f>
        <v/>
      </c>
    </row>
    <row r="32">
      <c r="A32" t="inlineStr">
        <is>
          <t>1/8 - P8</t>
        </is>
      </c>
      <c r="B32">
        <f>G20</f>
        <v/>
      </c>
      <c r="C32" s="15" t="n">
        <v>1</v>
      </c>
      <c r="D32" s="5" t="inlineStr">
        <is>
          <t>-</t>
        </is>
      </c>
      <c r="E32" s="15" t="n">
        <v>0</v>
      </c>
      <c r="F32">
        <f>G21</f>
        <v/>
      </c>
      <c r="G32">
        <f>IF(AND(ISNUMBER(C32),ISNUMBER(E32)),IF(C32&gt;E32,B32,F32),"")</f>
        <v/>
      </c>
    </row>
    <row r="33">
      <c r="A33" s="7" t="n"/>
      <c r="B33" s="7" t="n"/>
      <c r="C33" s="17" t="n"/>
      <c r="D33" s="7" t="n"/>
      <c r="E33" s="17" t="n"/>
      <c r="F33" s="7" t="n"/>
      <c r="G33" s="7" t="n"/>
      <c r="H33" s="7" t="n"/>
    </row>
    <row r="34">
      <c r="A34" s="7" t="n"/>
      <c r="B34" s="7" t="n"/>
      <c r="C34" s="17" t="n"/>
      <c r="D34" s="7" t="n"/>
      <c r="E34" s="17" t="n"/>
      <c r="F34" s="7" t="n"/>
      <c r="G34" s="7" t="n"/>
      <c r="H34" s="7" t="n"/>
    </row>
    <row r="35" ht="18.75" customHeight="1" s="10">
      <c r="A35" s="21" t="inlineStr">
        <is>
          <t>CUARTOS DE FINAL</t>
        </is>
      </c>
    </row>
    <row r="36" ht="16.5" customHeight="1" s="10">
      <c r="A36" s="13" t="inlineStr">
        <is>
          <t>Partido</t>
        </is>
      </c>
      <c r="B36" s="13" t="inlineStr">
        <is>
          <t>Equipo A</t>
        </is>
      </c>
      <c r="C36" s="13" t="inlineStr">
        <is>
          <t>Goles</t>
        </is>
      </c>
      <c r="D36" s="13" t="inlineStr">
        <is>
          <t>vs</t>
        </is>
      </c>
      <c r="E36" s="13" t="inlineStr">
        <is>
          <t>Goles</t>
        </is>
      </c>
      <c r="F36" s="13" t="inlineStr">
        <is>
          <t>Equipo B</t>
        </is>
      </c>
      <c r="G36" s="13" t="inlineStr">
        <is>
          <t>Clasifica</t>
        </is>
      </c>
      <c r="H36" s="13" t="inlineStr">
        <is>
          <t>Estado</t>
        </is>
      </c>
    </row>
    <row r="37">
      <c r="A37" s="5" t="inlineStr">
        <is>
          <t>1/4 - P1</t>
        </is>
      </c>
      <c r="B37">
        <f>G25</f>
        <v/>
      </c>
      <c r="C37" s="15" t="n">
        <v>2</v>
      </c>
      <c r="D37" s="5" t="inlineStr">
        <is>
          <t>-</t>
        </is>
      </c>
      <c r="E37" s="15" t="n">
        <v>3</v>
      </c>
      <c r="F37">
        <f>G26</f>
        <v/>
      </c>
      <c r="G37">
        <f>IF(AND(ISNUMBER(C37),ISNUMBER(E37)),IF(C37&gt;E37,B37,F37),"")</f>
        <v/>
      </c>
    </row>
    <row r="38">
      <c r="A38" s="5" t="inlineStr">
        <is>
          <t>1/4 - P2</t>
        </is>
      </c>
      <c r="B38">
        <f>G27</f>
        <v/>
      </c>
      <c r="C38" s="15" t="n">
        <v>3</v>
      </c>
      <c r="D38" s="5" t="inlineStr">
        <is>
          <t>-</t>
        </is>
      </c>
      <c r="E38" s="15" t="n">
        <v>2</v>
      </c>
      <c r="F38">
        <f>G28</f>
        <v/>
      </c>
      <c r="G38">
        <f>IF(AND(ISNUMBER(C38),ISNUMBER(E38)),IF(C38&gt;E38,B38,F38),"")</f>
        <v/>
      </c>
    </row>
    <row r="39">
      <c r="A39" s="5" t="inlineStr">
        <is>
          <t>1/4 - P3</t>
        </is>
      </c>
      <c r="B39">
        <f>G29</f>
        <v/>
      </c>
      <c r="C39" s="15" t="n">
        <v>1</v>
      </c>
      <c r="D39" s="5" t="inlineStr">
        <is>
          <t>-</t>
        </is>
      </c>
      <c r="E39" s="15" t="n">
        <v>0</v>
      </c>
      <c r="F39">
        <f>G30</f>
        <v/>
      </c>
      <c r="G39">
        <f>IF(AND(ISNUMBER(C39),ISNUMBER(E39)),IF(C39&gt;E39,B39,F39),"")</f>
        <v/>
      </c>
    </row>
    <row r="40">
      <c r="A40" s="5" t="inlineStr">
        <is>
          <t>1/4 - P4</t>
        </is>
      </c>
      <c r="B40">
        <f>G31</f>
        <v/>
      </c>
      <c r="C40" s="15" t="n">
        <v>2</v>
      </c>
      <c r="D40" s="5" t="inlineStr">
        <is>
          <t>-</t>
        </is>
      </c>
      <c r="E40" s="15" t="n">
        <v>0</v>
      </c>
      <c r="F40">
        <f>G32</f>
        <v/>
      </c>
      <c r="G40">
        <f>IF(AND(ISNUMBER(C40),ISNUMBER(E40)),IF(C40&gt;E40,B40,F40),"")</f>
        <v/>
      </c>
    </row>
    <row r="41">
      <c r="A41" s="7" t="n"/>
      <c r="B41" s="7" t="n"/>
      <c r="C41" s="17" t="n"/>
      <c r="D41" s="7" t="n"/>
      <c r="E41" s="17" t="n"/>
      <c r="F41" s="7" t="n"/>
      <c r="G41" s="7" t="n"/>
      <c r="H41" s="7" t="n"/>
    </row>
    <row r="42">
      <c r="A42" s="7" t="n"/>
      <c r="B42" s="7" t="n"/>
      <c r="C42" s="17" t="n"/>
      <c r="D42" s="7" t="n"/>
      <c r="E42" s="17" t="n"/>
      <c r="F42" s="7" t="n"/>
      <c r="G42" s="7" t="n"/>
      <c r="H42" s="7" t="n"/>
    </row>
    <row r="43" ht="18.75" customHeight="1" s="10">
      <c r="A43" s="21" t="inlineStr">
        <is>
          <t>SEMIFINALES</t>
        </is>
      </c>
    </row>
    <row r="44" ht="16.5" customHeight="1" s="10">
      <c r="A44" s="13" t="inlineStr">
        <is>
          <t>Partido</t>
        </is>
      </c>
      <c r="B44" s="13" t="inlineStr">
        <is>
          <t>Equipo A</t>
        </is>
      </c>
      <c r="C44" s="13" t="inlineStr">
        <is>
          <t>Goles</t>
        </is>
      </c>
      <c r="D44" s="13" t="inlineStr">
        <is>
          <t>vs</t>
        </is>
      </c>
      <c r="E44" s="13" t="inlineStr">
        <is>
          <t>Goles</t>
        </is>
      </c>
      <c r="F44" s="13" t="inlineStr">
        <is>
          <t>Equipo B</t>
        </is>
      </c>
      <c r="G44" s="13" t="inlineStr">
        <is>
          <t>Clasifica</t>
        </is>
      </c>
      <c r="H44" s="13" t="inlineStr">
        <is>
          <t>Estado</t>
        </is>
      </c>
    </row>
    <row r="45">
      <c r="A45" s="5" t="inlineStr">
        <is>
          <t>Semi - P1</t>
        </is>
      </c>
      <c r="B45">
        <f>G37</f>
        <v/>
      </c>
      <c r="C45" s="15" t="n">
        <v>1</v>
      </c>
      <c r="D45" s="5" t="inlineStr">
        <is>
          <t>-</t>
        </is>
      </c>
      <c r="E45" s="15" t="n">
        <v>2</v>
      </c>
      <c r="F45">
        <f>G38</f>
        <v/>
      </c>
      <c r="G45">
        <f>IF(AND(ISNUMBER(C45),ISNUMBER(E45)),IF(C45&gt;E45,B45,F45),"")</f>
        <v/>
      </c>
    </row>
    <row r="46">
      <c r="A46" s="5" t="inlineStr">
        <is>
          <t>Semi - P2</t>
        </is>
      </c>
      <c r="B46">
        <f>G39</f>
        <v/>
      </c>
      <c r="C46" s="15" t="n">
        <v>2</v>
      </c>
      <c r="D46" s="5" t="inlineStr">
        <is>
          <t>-</t>
        </is>
      </c>
      <c r="E46" s="15" t="n">
        <v>1</v>
      </c>
      <c r="F46">
        <f>G40</f>
        <v/>
      </c>
      <c r="G46">
        <f>IF(AND(ISNUMBER(C46),ISNUMBER(E46)),IF(C46&gt;E46,B46,F46),"")</f>
        <v/>
      </c>
    </row>
    <row r="47">
      <c r="A47" s="7" t="n"/>
      <c r="B47" s="7" t="n"/>
      <c r="C47" s="17" t="n"/>
      <c r="D47" s="7" t="n"/>
      <c r="E47" s="17" t="n"/>
      <c r="F47" s="7" t="n"/>
      <c r="G47" s="7" t="n"/>
      <c r="H47" s="7" t="n"/>
    </row>
    <row r="48">
      <c r="A48" s="7" t="n"/>
      <c r="B48" s="7" t="n"/>
      <c r="C48" s="17" t="n"/>
      <c r="D48" s="7" t="n"/>
      <c r="E48" s="17" t="n"/>
      <c r="F48" s="7" t="n"/>
      <c r="G48" s="7" t="n"/>
      <c r="H48" s="7" t="n"/>
    </row>
    <row r="49" ht="18.75" customHeight="1" s="10">
      <c r="A49" s="21" t="inlineStr">
        <is>
          <t>PARTIDO POR EL TERCER LUGAR</t>
        </is>
      </c>
    </row>
    <row r="50" ht="16.5" customHeight="1" s="10">
      <c r="A50" s="13" t="inlineStr">
        <is>
          <t>Partido</t>
        </is>
      </c>
      <c r="B50" s="13" t="inlineStr">
        <is>
          <t>Equipo A</t>
        </is>
      </c>
      <c r="C50" s="13" t="inlineStr">
        <is>
          <t>Goles</t>
        </is>
      </c>
      <c r="D50" s="13" t="inlineStr">
        <is>
          <t>vs</t>
        </is>
      </c>
      <c r="E50" s="13" t="inlineStr">
        <is>
          <t>Goles</t>
        </is>
      </c>
      <c r="F50" s="13" t="inlineStr">
        <is>
          <t>Equipo B</t>
        </is>
      </c>
      <c r="G50" s="13" t="inlineStr">
        <is>
          <t>Clasifica</t>
        </is>
      </c>
      <c r="H50" s="13" t="inlineStr">
        <is>
          <t>Estado</t>
        </is>
      </c>
    </row>
    <row r="51">
      <c r="A51" s="5" t="inlineStr">
        <is>
          <t>Tercer Lugar</t>
        </is>
      </c>
      <c r="B51">
        <f>IF(C45&lt;E45,B45,IF(C45&gt;E45,F45,""))</f>
        <v/>
      </c>
      <c r="C51" s="15" t="n">
        <v>3</v>
      </c>
      <c r="D51" s="5" t="inlineStr">
        <is>
          <t>-</t>
        </is>
      </c>
      <c r="E51" s="15" t="n">
        <v>1</v>
      </c>
      <c r="F51">
        <f>IF(C46&lt;E46,B46,IF(C46&gt;E46,F46,""))</f>
        <v/>
      </c>
      <c r="G51">
        <f>IF(AND(ISNUMBER(C51),ISNUMBER(E51)),IF(C51&gt;E51,B51,F51),"")</f>
        <v/>
      </c>
    </row>
    <row r="52">
      <c r="A52" s="7" t="n"/>
      <c r="B52" s="7" t="n"/>
      <c r="C52" s="17" t="n"/>
      <c r="D52" s="7" t="n"/>
      <c r="E52" s="17" t="n"/>
      <c r="F52" s="7" t="n"/>
      <c r="G52" s="7" t="n"/>
      <c r="H52" s="7" t="n"/>
    </row>
    <row r="53">
      <c r="A53" s="7" t="n"/>
      <c r="B53" s="7" t="n"/>
      <c r="C53" s="17" t="n"/>
      <c r="D53" s="7" t="n"/>
      <c r="E53" s="17" t="n"/>
      <c r="F53" s="7" t="n"/>
      <c r="G53" s="7" t="n"/>
      <c r="H53" s="7" t="n"/>
    </row>
    <row r="54" ht="18.75" customHeight="1" s="10">
      <c r="A54" s="21" t="inlineStr">
        <is>
          <t>GRAN FINAL</t>
        </is>
      </c>
    </row>
    <row r="55" ht="16.5" customHeight="1" s="10">
      <c r="A55" s="13" t="inlineStr">
        <is>
          <t>Partido</t>
        </is>
      </c>
      <c r="B55" s="13" t="inlineStr">
        <is>
          <t>Equipo A</t>
        </is>
      </c>
      <c r="C55" s="13" t="inlineStr">
        <is>
          <t>Goles</t>
        </is>
      </c>
      <c r="D55" s="13" t="inlineStr">
        <is>
          <t>vs</t>
        </is>
      </c>
      <c r="E55" s="13" t="inlineStr">
        <is>
          <t>Goles</t>
        </is>
      </c>
      <c r="F55" s="13" t="inlineStr">
        <is>
          <t>Equipo B</t>
        </is>
      </c>
      <c r="G55" s="13" t="inlineStr">
        <is>
          <t>Clasifica</t>
        </is>
      </c>
      <c r="H55" s="13" t="inlineStr">
        <is>
          <t>Estado</t>
        </is>
      </c>
    </row>
    <row r="56">
      <c r="A56" s="5" t="inlineStr">
        <is>
          <t>Gran Final</t>
        </is>
      </c>
      <c r="B56">
        <f>G45</f>
        <v/>
      </c>
      <c r="C56" s="15" t="n">
        <v>2</v>
      </c>
      <c r="D56" s="5" t="inlineStr">
        <is>
          <t>-</t>
        </is>
      </c>
      <c r="E56" s="15" t="n">
        <v>0</v>
      </c>
      <c r="F56">
        <f>G46</f>
        <v/>
      </c>
      <c r="G56">
        <f>IF(AND(ISNUMBER(C56),ISNUMBER(E56)),IF(C56&gt;E56,B56,F56),"")</f>
        <v/>
      </c>
    </row>
    <row r="57">
      <c r="A57" s="7" t="n"/>
      <c r="B57" s="7" t="n"/>
      <c r="C57" s="17" t="n"/>
      <c r="D57" s="7" t="n"/>
      <c r="E57" s="17" t="n"/>
      <c r="F57" s="7" t="n"/>
      <c r="G57" s="7" t="n"/>
      <c r="H57" s="7" t="n"/>
    </row>
    <row r="58">
      <c r="A58" s="7" t="n"/>
      <c r="B58" s="7" t="n"/>
      <c r="C58" s="17" t="n"/>
      <c r="D58" s="7" t="n"/>
      <c r="E58" s="17" t="n"/>
      <c r="F58" s="7" t="n"/>
      <c r="G58" s="7" t="n"/>
      <c r="H58" s="7" t="n"/>
    </row>
    <row r="59" ht="18.75" customHeight="1" s="10">
      <c r="A59" s="21" t="inlineStr">
        <is>
          <t>PODIO DE HONOR 🏆</t>
        </is>
      </c>
    </row>
    <row r="60" ht="16.5" customHeight="1" s="10">
      <c r="A60" s="7" t="n"/>
      <c r="B60" s="22" t="inlineStr">
        <is>
          <t>CAMPEÓN MUNDIAL 🏆</t>
        </is>
      </c>
      <c r="F60" s="8">
        <f>G56</f>
        <v/>
      </c>
      <c r="G60" s="7" t="n"/>
      <c r="H60" s="7" t="n"/>
    </row>
    <row r="61" ht="16.5" customHeight="1" s="10">
      <c r="A61" s="7" t="n"/>
      <c r="B61" s="22" t="inlineStr">
        <is>
          <t>Subcampeón 🥈</t>
        </is>
      </c>
      <c r="F61" s="8">
        <f>IF(C56&lt;E56,B56,IF(C56&gt;E56,F56,""))</f>
        <v/>
      </c>
      <c r="G61" s="7" t="n"/>
      <c r="H61" s="7" t="n"/>
    </row>
    <row r="62" ht="16.5" customHeight="1" s="10">
      <c r="A62" s="7" t="n"/>
      <c r="B62" s="22" t="inlineStr">
        <is>
          <t>Tercer Lugar 🥉</t>
        </is>
      </c>
      <c r="F62" s="8">
        <f>G51</f>
        <v/>
      </c>
      <c r="G62" s="7" t="n"/>
      <c r="H62" s="7" t="n"/>
    </row>
  </sheetData>
  <mergeCells count="11">
    <mergeCell ref="A4:H4"/>
    <mergeCell ref="B61:E61"/>
    <mergeCell ref="A35:H35"/>
    <mergeCell ref="A59:H59"/>
    <mergeCell ref="A43:H43"/>
    <mergeCell ref="A54:H54"/>
    <mergeCell ref="B62:E62"/>
    <mergeCell ref="A49:H49"/>
    <mergeCell ref="A23:H23"/>
    <mergeCell ref="A1:H2"/>
    <mergeCell ref="B60:E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2026-05-21T20:43:28Z</dcterms:created>
  <dcterms:modified xsi:type="dcterms:W3CDTF">2026-05-31T23:59:48Z</dcterms:modified>
  <cp:lastModifiedBy>Salvador Velasco Tellez</cp:lastModifiedBy>
</cp:coreProperties>
</file>